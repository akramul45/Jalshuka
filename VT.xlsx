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T" sheetId="1" r:id="rId4"/>
    <sheet state="visible" name="raw" sheetId="2" r:id="rId5"/>
    <sheet state="visible" name="Sheet4" sheetId="3" r:id="rId6"/>
  </sheets>
  <definedNames/>
  <calcPr/>
</workbook>
</file>

<file path=xl/sharedStrings.xml><?xml version="1.0" encoding="utf-8"?>
<sst xmlns="http://schemas.openxmlformats.org/spreadsheetml/2006/main" count="76" uniqueCount="76">
  <si>
    <t>ক্রমিক নং,নাম,ভোটার নং,পিতা,মাতা,পেশা,জন্ম তারিখ,ঠিকানা</t>
  </si>
  <si>
    <t>১০৭০,মোঃ ছানোয়ার হোসেন,[তথ্য নেই],[তথ্য নেই],[তথ্য নেই],[তথ্য নেই],[তথ্য নেই],[তথ্য নেই]</t>
  </si>
  <si>
    <t>০৭১,মোঃ আজিজার মন্ডল,৫৭০০৫৬৩৭৭৩৪০,[অস্পষ্ট],মোছাঃ জাছিরন নেছা,কৃষক,১২/০৬/১৯৬৭,"জালশুকা, গাংনী, মেহেরপুর"</t>
  </si>
  <si>
    <t>০৭৩,মোঃ আব্দুল মালেক,৫৭০০৫৬৩৭৭৩৪৬,খোদা বক্স,মোছাঃ ওকিমন নেছা,কৃষক,১৬/১১/১৯৫২,"জালশুকা, গাংনী, মেহেরপুর"</t>
  </si>
  <si>
    <t>০৭২,মোঃ আশাদুল হক,৫৭০০৫৬৩৭৭৩৪৩,মইনদ্দীন,মোছাঃ জহুরা খাতুন,ব্যবসা,০১/০৫/১৯৬৮,"জালশুকা, গাংনী, মেহেরপুর"</t>
  </si>
  <si>
    <t>০৭৪,মোঃ বাবুল হোসেন,৫৭০০৫৬৩৭৭৩৪৭,মোঃ আঃ মালেক,মোছাঃ মনজুরা খাতুন,কৃষক,১৫/১০/১৯৮৭,"জালশুকা, গাংনী, মেহেরপুর"</t>
  </si>
  <si>
    <t>০৭৫,মোঃ বিল্লাল হোসেন,৫৭০০৫৬৩৭৭৩৪৮,মোঃ আঃ খালেক,মোছাঃ মমতাজ বেগম,কৃষক,১৯/১০/১৯৮৮,"জালশুকা, গাংনী, মেহেরপুর"</t>
  </si>
  <si>
    <t>০৭৬,মোঃ আব্দুল্লাহ আল মামুন,৫৭০০৫৬৩৭৭৩৪৯,মোঃ জমশেদ আলী,মোছাঃ হাসিনা খাতুন,ছাত্র/ছাত্রী,৩১/১২/১৯৮৬,"জালশুকা, গাংনী, মেহেরপুর"</t>
  </si>
  <si>
    <t>[অস্পষ্ট],মোঃ আজমাইল দেবেন,[অস্পষ্ট],মোঃ রমজান আল,মোছাঃ হাজেরা খাতুন,কৃষক,০১/১১/১৯৮২,"জালশুকা, গাংনী, মেহেরপুর"</t>
  </si>
  <si>
    <t>০৭৭,মোঃ আমিনুল হক,৫৭০০৫৬৩৭৭৩৫১,মোঃ আনছার মুনশী,মোছাঃ ভানুয়ারা খাতুন,কৃষক,২২/১০/১৯৮৪,"জালশুকা, গাংনী, মেহেরপুর"</t>
  </si>
  <si>
    <t>০৭৮,মোঃ বাবলু আলী,৫৭০০৫৬৩৭৭৩৫৫,মোঃ আবুল হোসেন,মোছাঃ ইশারন নেছা,কৃষক,১৯/১১/১৯৬৫,"জালশুকা, গাংনী, মেহেরপুর"</t>
  </si>
  <si>
    <t>১৭৯,মোঃ আনছার আলী,৫৭০০৫৬৩৭৭৩৫৭,আজাহার মুনশি,রহতন নেছা,[অস্পষ্ট],১৫/০২/১৯৪৭,"জালশুকা, গাংনী, মেহেরপুর"</t>
  </si>
  <si>
    <t>০৮২,মোঃ শরিফল ইসলাম,৫৭০০৫৬৩৭৭৩৭৪,জব্বার মধ্য,রমেলা খাতুন,কৃষক,১৫/০৭/১৯৬৯,"জালশুকা, গাংনী, মেহেরপুর"</t>
  </si>
  <si>
    <t>[অস্পষ্ট],ফরিদ আলী,[অস্পষ্ট],বক্কর,জবেদা খাতুন,[অস্পষ্ট],১৪/১০/১৯৭৭,"জালশুকা, গাংনী, মেহেরপুর"</t>
  </si>
  <si>
    <t>০৮০,মোঃ [অস্পষ্ট],৫৭০০৫৬৩৪৭৩৬১,মোঃ আবু,মোছাঃ [অস্পষ্ট],কৃষক,[অস্পষ্ট],"জালশুকা, গাংনী, মেহেরপুর"</t>
  </si>
  <si>
    <t>০৮৩,মোঃ সিদ্দিক আলী,৫৭০০৫৬৩৭৭৩৭৫,রুস্তম মন্ডল,মোছাঃ মনোয়ারা খাতুন,কৃষক,১৬/০৫/১৯৭৭,"জালশুকা, গাংনী, মেহেরপুর"</t>
  </si>
  <si>
    <t>০৮৬,মোঃ আমজাদ হোসেন,৫৭০০৫৬৩৭৭৩৮১,ইয়াকুৰ আলী,খাতেজান নেছ,কৃষক,১৮/০৪/১৯৫২,"জালশুকা, গাংনী, মেহেরপুর"</t>
  </si>
  <si>
    <t>০৮৪,মোঃ আনারুল ইসলাম,৫৭০০৫৬৩৭৭৩৭৭,আকবর আলী,রয়মন নেছা,কৃষক,১০/০৬/১৯৭৩,"জালশুকা, গাংনী, মেহেরপুর"</t>
  </si>
  <si>
    <t>০৮৫,মোঃ নূর ইসলাম,৫৭০০৫৬৩৭৭৩৭৮,ইয়াকুব আলী,খাতেজান নেছা,কৃষক,২৫/০৩/১৯৬১,"জালশুকা, গাংনী, মেহেরপুর"</t>
  </si>
  <si>
    <t>০৮৭,মোঃ শহিদুল ইসলাম,৫৭০০৫৬৩৭৭৩৮৪,জব্বার মধা,রমেলা খাতুন,কৃষক,১১/০৬/১৯৬৭,"জালশুকা, গাংনী, মেহেরপুর"</t>
  </si>
  <si>
    <t>১৬০,মোঃ খবির উদ্দীন,৫৭০০৫৬৩৭৮১০৩,ওয়াজ বক্স মালিথা,মোছাঃ ইজারন নেছা,কৃষক,১০/০২/১৯৬১,"জালশুকা, গাংনী, মেহেরপুর"</t>
  </si>
  <si>
    <t>১৬১,মোঃ দবির উদ্দিন,৫৭০০৫৬৩৭৮১০৪,ওয়াজ বক্স মালিথা,মোছাঃ ইজারন নেছা,কৃষক,২০/০২/১৯৫৯,"জালশুকা, গাংনী, মেহেরপুর"</t>
  </si>
  <si>
    <t>১৬২,মোঃ মুকুল হোসেন,৫৭০০৫৬৩৭৮১০৫,মোঃ মনসুর আলী,মোছাঃ কহিনুর নেছা,কৃষক,০৫/০৮/১৯৬৬,"জালশুকা, গাংনী, মেহেরপুর"</t>
  </si>
  <si>
    <t>১৬৩,মোঃ বকুল হোসেন,৫৭০০৫৬৩৭৮১০৭,মোঃ মঞ্জুর আলী,মোছাঃ কহিনুর নেছা,কৃষক,৩১/১২/১৯৮০,"জালশুকা, গাংনী, মেহেরপুর"</t>
  </si>
  <si>
    <t>১৬৪,মোঃ আশাদুল হক,৫৭০০৫৬৩৭৮১১০,ওয়াজ বক্স,মোছাঃ ইজারন নেছা,কৃষক,২৫/০২/১৯৭৪,"জালশুকা, গাংনী, মেহেরপুর"</t>
  </si>
  <si>
    <t>১৬৫,মোঃ নাসীর উদ্দীন,৫৭০০৫৬৩৭৮১১২,ওয়াজ বক্স মালিথা,মোছাঃ ইজারন নেছা,কৃষক,০২/০২/১৯৭২,"জালশুকা, গাংনী, মেহেরপুর"</t>
  </si>
  <si>
    <t>[নাই],রবিউল হক,৫৭০০৫৬৩৭৮১১৭,ওয়াজ বক্স মালিথা,মোছাঃ ইজারন নেছা,কৃষক,১৭/০৪/১৯??,"জালশুকা, গাংনী, মেহেরপুর"</t>
  </si>
  <si>
    <t>১৬৬,মোঃ সাইফুল ইসলাম,৫৭০০৫৬৩৭৮১১৪,মোঃ দবির উদ্দীন,মোছাঃ রিজিয়া খাতুন,ছাত্র/ছাত্রী,৩১/১২/১৯৮৩,"জালশুকা, গাংনী, মেহেরপুর"</t>
  </si>
  <si>
    <t>১৬৭,মোঃ আলামিন মালিথা,৫৭০০৫৬৩৭৮১১৫,মোঃ দবির উদ্দীন,মোছাঃ রিজিয়া খাতুন,কৃষক,১১/০১/১৯৮৭,"জালশুকা, গাংনী, মেহেরপুর"</t>
  </si>
  <si>
    <t>১৭১,মোঃ রতন আলী,৫৭০০৫৬৩৭৮১২৮,মোঃ বুদু আলী,মোছাঃ সবুরন নেছা,কৃষক,০৫/০৩/১৯৮৩,"জালশুকা, গাংনী, মেহেরপুর"</t>
  </si>
  <si>
    <t>১৬৯,মোঃ তোফাজ্জেল হোসেন,৫৭০০৫৬৩৭৮১১৯,উম্বাদ আলী,মোছাঃ রবিয়া খাতুন,ব্যবসা,০৫/০৬/১৯৬১,"জালশুকা, গাংনী, মেহেরপুর"</t>
  </si>
  <si>
    <t>১৭০,মোঃ আলেকচাঁদ,[অস্পষ্ট],মোঃ [অস্পষ্ট],[অস্পষ্ট],[অস্পষ্ট],[অস্পষ্ট],"জালশুকা, গাংনী, মেহেরপুর"</t>
  </si>
  <si>
    <t>১৭২,মোঃ মশিউর রহমান,৫৭০০৫৬৩৭৮১৩১,মোঃ আহার উদ্দীন মন্ডল,মোছাঃ জাহানারা খাতুন,কৃষক,০১/০১/১৯৮৩,"জালশুকা, গাংনী, মেহেরপুর"</t>
  </si>
  <si>
    <t>১৭৩,মোঃ হাসিবুল,৫৭০০৫৬৩৭৮১৩৩,মোছারদ্দীন মন্ডল,খবেজা খাতুন,[অস্পষ্ট],২৫/১০/১৯৮২,"জালশুকা, গাংনী, মেহেরপুর"</t>
  </si>
  <si>
    <t>১৭৪,মোঃ রবিউল ইসলাম,৫৭০০৫৬৩৭৮১৩৬,মোঃ মোছার উদ্দীন মন্ডল,মোছাঃ খবেজা খাতুন,কৃষক,০৯/০৯/১৯৭১,"জালশুকা, গাংনী, মেহেরপুর"</t>
  </si>
  <si>
    <t>১৭৫,মোঃ নুর ইসলাম,৫৭০০৫৬৩৭৮১৪০,নেপাল মন্ডল,জবেদা খাতুন,কৃষক,০১/০১/১৯৫৬,"জালশুকা, গাংনী, মেহেরপুর"</t>
  </si>
  <si>
    <t>১৭৬,মোঃ বিল্লাল হোসেন,৫৭০০৫৬৩৭৮১৪৩,মোঃ আসান আলী,মোছাঃ অজিফা খাতুন,কৃষক,০৫/০৩/১৯৮৪,"জালশুকা, গাংনী, মেহেরপুর"</t>
  </si>
  <si>
    <t>১৭৭,মোঃ শহিদুল ইসলাম,৫৭০০৫৬৩৭৮১৪৬,মোঃ রমজান আলী,মোছাঃ সুফিয়া খাতুন,কৃষক,০২/০৩/১৯৭৩,"জালশুকা, গাংনী, মেহেরপুর"</t>
  </si>
  <si>
    <t>৫৫৬,মোঃ লিটন রানা,৫৭০০৫৬০০০০৯৩,মনিরুল ইসলাম,হাজেরা খাতুন,কৃষক,০২/০৬/১৯৯১,"জালশুকা, গাংনী, মেহেরপুর"</t>
  </si>
  <si>
    <t>৫৫৭,মোহা। আক্তারুজ্জামান,৫৭০০৫৬০০০০৯৬,হবিবার রহমান,মর্জিনা খাতুন,বেসরকারী চাকুরী,১০/০৬/১৯৯০,"জালশুকা, গাংনী, মেহেরপুর"</t>
  </si>
  <si>
    <t>৫৫৮,মোঃ সোহেল রানা,৫৭০০৫৬০০০০৯৭,আনিচুর রহমান,মোছাঃ ছালেহা,কৃষক,১৩/০২/১৯৮৭,"জালশুকা, গাংনী, মেহেরপুর"</t>
  </si>
  <si>
    <t>৫৫৯,মোঃ উজ্জল আলী,৫৭০০৫৬০০০০৯৯,মোঃ রুহুল আমিন,জাহানারা খাতুন,দিনমজুর,০৫/০৮/১৯৯০,"জালশুকা, গাংনী, মেহেরপুর"</t>
  </si>
  <si>
    <t>৫৬০,মোঃ ইয়াছিন আলী,৫৭০০৫৬০০০১০১,আলাউদ্দীন,আমেনা খাতুন,কৃষক,১৭/০৭/১৯৯০,"জালশুকা, গাংনী, মেহেরপুর"</t>
  </si>
  <si>
    <t>৫৬১,মোঃ আজমাঈল হক,৫৭০০৫৬০০০১০২,আঃ রাজ্জাক,আসরা খাতুন,ব্যবসা,০৭/০১/১৯৯১,"জালশুকা, গাংনী, মেহেরপুর"</t>
  </si>
  <si>
    <t>৫৬২,মোঃ মিজানুর রহমান,৫৭০০৫৬০০০১০৩,দবির মন্ডল,জয়নব নেছা,কৃষক,২৩/০৯/১৯৬৯,"জালশুকা, গাংনী, মেহেরপুর"</t>
  </si>
  <si>
    <t>৫৬৩,মোঃ আনিচুর রহমান,৫৭০০৫৬০০০১০৭,এন এস মুক্তার আলী,মোছাঃ রাবেয়া খাতুন,কৃষক,০১/০৫/১৯৯০,"জালশুকা, গাংনী, মেহেরপুর"</t>
  </si>
  <si>
    <t>৫৬৪,সাধন আলী,৫৭০০৫৬০০০১০৯,খালেক,সুরাতন,দিনমজুর,০১/০১/১৯৯০,"জালশুকা, গাংনী, মেহেরপুর"</t>
  </si>
  <si>
    <t>৫৬৫,মোস্তফা মোহাম্মদ,৫৭০০৫৬০০০১১১,মোঃ আমজাদ হোসেন,মোছাঃ সাহেদা খাতুন,ছাত্র/ছাত্রী,০১/০২/১৯৯০,"জালশুকা, গাংনী, মেহেরপুর"</t>
  </si>
  <si>
    <t>৫৬৬,মোঃ জসিম উদ্দীন,৫৭০০৫৬০০০১১২,মোঃ শহিদুল ইসলাম,ছাহারন নেছা,কৃষক,০১/০৩/১৯৮৭,"জালশুকা, গ্রাংনী, মেহেরপুর"</t>
  </si>
  <si>
    <t>৫৬৭,মোঃ দিপক আলী,৫৭০০৫৬০০০১১৩,মোঃ আয়ুব আলী,মোছাঃ মর্জিনা খাতুন,দিনমজুর,০১/০১/১৯৯০,"জালশুকা, গাংনী, মেহেরপুর"</t>
  </si>
  <si>
    <t>৫৬৮,মোঃ রেজাউল করিম,৫৭০০৫৬০০০১২১,মোঃ একরামুল হক,মোছাঃ সুলতানা খাতুন,কৃষক,২৫/০৫/১৯৯১,"জালশুকা, গাংনী, মেহেরপুর"</t>
  </si>
  <si>
    <t>৫৬৯,মোহাঃ রকিবুল ইসলাম,৫৭০০৫৬০০০১২৮,মোঃ হানিফ আলী,মোঃ আকলিমা,ছাত্র/ছাত্রী,২৭/০৮/১৯৯১,"জালশুকা, গাংনী, মেহেরপুর"</t>
  </si>
  <si>
    <t>৫৭০,মোঃ রানা,৫৭০০৫৬০০০১২৯,মোঃ জাহা বক্স,মোছাঃ আয়মানা,কৃষক,০১/০৬/১৯৯০,"জালশুকা, গাংনী, মেহেরপুর"</t>
  </si>
  <si>
    <t>৫৭১,মোঃ মিজানুর রহমান,৫৭০০৫৬০০০১৩০,মুকতার,মোছাঃ রাবেয়া খাতুন,দিনমজুর,০১/০১/১৯৮৬,"জালশুকা, গাংনী, মেহেরপুর"</t>
  </si>
  <si>
    <t>৫৭২,মোঃ রুবেল আলী,৫৭০০৫৬০০০১৩২,আবেদুর রহমান,মোছাঃ গুলশানারা খাতুন,কৃষক,১৮/০৫/১৯৮৯,"জালশুকা, গাংনী, মেহেরপুর"</t>
  </si>
  <si>
    <t>৫৭৩,মোঃ লাল্টু মিয়া,৫৭০০৫৬০০০১৩৬,ওমর আলী,মোছাঃ ছারেজান নেছা,কৃষক,০১/০৫/১৯৮৬,"জালশুকা, গাংনী, মেহেরপুর"</t>
  </si>
  <si>
    <t>৭৩৬,মাহাবুল,৫৭০০৫৬০০০৪২৪,জামাল,বাসিরন,কৃষক,০৫/০২/১৯৯০,"জালশুকা, গাংনী, মেহেরপুর"</t>
  </si>
  <si>
    <t>৭৩৭,মোঃ নাইম,৫৭০০৫২০০০৪২৬,মোঃ আব্দুর রশিদ,মোছাঃ নাসিমা খাতুন,ছাত্র/ছাত্রী,২০/০৭/২০০৩,"জালশুকা, গাংনী, মেহেরপুর"</t>
  </si>
  <si>
    <t>৭৩৮,মোঃ আল আমিন,৫৭০০৫৬০০০৪২৭,আব্দুল খালেক,মোছাঃ সাহান্নারা,কৃষক,২০/০৩/২০০০,"জালশুকা, গাংনী, মেহেরপুর"</t>
  </si>
  <si>
    <t>৭৩৯,মোঃ নাজমুল হুদা,৫৭০০৫৬০০০৪২৮,মোঃ রুহুল আমিন,মোছাঃ শাহেদা খাতুন,কৃষক,১৫/০৬/১৯৮৫,"জালশুকা, গাংনী, মেহেরপুর"</t>
  </si>
  <si>
    <t>৭৪০,মোঃ রাকিব হোসেন,৫৭০০৫৬০০০৪২৯,মোহাঃ রইছউদ্দীন,মোছাঃ সুবারন নেছা,কৃষক,০১/০১/২০০৩,"জালশুকা, গাংনী, মেহেরপুর"</t>
  </si>
  <si>
    <t>৭৪১,মোঃ পলাশ আলী,৫৭০০৫৬০০০৪৩০,আনারুল,সকিরন নেছা,ছাত্র/ছাত্রী,২৪/০৫/২০০৩,"জালশুকা, গাংনী, মেহেরপুর"</t>
  </si>
  <si>
    <t>৭৪২,মোঃ ইমরান আলি,৫৭০০৫৬০০০৪৩১,মোহাঃ নওশাদ,মোছাঃ নাজিরা খাতুন,কৃষক,০১/০৩/২০০৩,"জালশুকা, গাংনী, মেহেরপুর"</t>
  </si>
  <si>
    <t>৭৪৩,মোঃ মিলন আলি,৫৭০০৫৬০০০৪৩৭,মোঃ আব্বাস আলী,মোছাঃ ময়না খাতুন,ছাত্র/ছাত্রী,০১/০৩/২০০৩,"জালশুকা, গাংনী, মেহেরপুর"</t>
  </si>
  <si>
    <t>৭৪৪,মোঃ তোতা আলী,৫৭০০৫৬০০০৪৩৯,মোঃ জাজাল উদ্দীন,মোছাঃ রেবেকা খাতুন,ছাত্র/ছাত্রী,০৩/০১/২০০২,"জালশুকা, গাংনী, মেহেরপুর"</t>
  </si>
  <si>
    <t>৭৪৫,মোঃ আসাদ,৫৭০০৫৬০০০৪৪০,মোঃ মেহের আলী,মোছাঃ নাসিমা খাতুন,কৃষক,৩০/১০/১৯৯৬,"জালশুকা, গাংনী, মেহেরপুর"</t>
  </si>
  <si>
    <t>৭৪৬,মোঃ নিসান আলী,৫৭০০৫৬০০০৪৪১,মোঃ জামিরুল ইসলাম,মোছাঃ তাসলিমা খাতুন,ছাত্র/ছাত্রী,০১/০১/২০০০,"জালশুকা, গাংনী, মেহেরপুর"</t>
  </si>
  <si>
    <t>৭৪৭,মোঃ লিখন আলি,৫৭০০৫৬০০০৪৪৩,মোঃ নজরুল ইসলাম,মোছাঃ ফিরোজা খাতুন,ছাত্র/ছাত্রী,০১/০১/২০০২,"জালশুকা, গাংনী, মেহেরপুর"</t>
  </si>
  <si>
    <t>৭৪৮,মোঃ হুসাইন আলী,৫৭০০৫৬০০০৪৪৬,আব্দুর রাজ্জাক,মোছাঃ নাজিরা খাতুন,ছাত্র/ছাত্রী,১৭/১২/২০০১,"জালশুকা, গাংনী, মেহেরপুর"</t>
  </si>
  <si>
    <t>৭৪৯,মোঃ মারিজুল ইসলাম,৫৭০০৫৬০০০৪৪৭,মোঃ আসাদুল হক,মোছাঃ কামরুন্নাহার,ছাত্র/ছাত্রী,০১/১০/২০০১,"জালশুকা, গাংনী, মেহেরপুর"</t>
  </si>
  <si>
    <t>৭৫০,মোঃ হৃদয় হোসেন,৫৭০০৫৬০০০৪৫২,মোঃ জিয়াউর রহমান,মোছাঃ বেদেনা খাতুন,ছাত্র/ছাত্রী,২৭/১০/১৯৯৮,"জালশুকা, গাংনী, মেহেরপুর"</t>
  </si>
  <si>
    <t>৭৫১,মোঃ বকুল আহমেদ,৫৭০০৫৬০০০৪৫৪,মোঃ আহাদ আলী,জহুরা খাতুন,ছাত্র/ছাত্রী,২০/১১/১৯৯?,"জালশুকা, গাংনী, মেহেরপুর"</t>
  </si>
  <si>
    <t>৭৫২,মোঃ স্বপন আলী,৫৭০০৫৬০০০৪৫৫,মোঃ রেজাউল হক,মৃত হালিমা খাতুন,কৃষক,০৯/১২/১৯৮৮,"জালশুকা, গাংনী, মেহেরপুর"</t>
  </si>
  <si>
    <t>৭৫৩,মোঃ সেরেফুল,৫৭০০৫৬০০০৪৫৬,মোঃ নুজির আলী,মোছাঃ ফাতেমা খাতুন,ছাত্র/ছাত্রী,০১/০১/২০০২,"জালশুকা, গাংনী, মেহেরপুর"</t>
  </si>
  <si>
    <t>অনুসন্ধান</t>
  </si>
  <si>
    <t>বক্স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</si>
</sst>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rgb="FF1F1F1F"/>
      <name val="&quot;Google Sans Text&quot;"/>
    </font>
    <font>
      <color/>
      <name val="Arial"/>
    </font>
    <font>
      <sz val="18.0"/>
      <color/>
      <name val="Arial"/>
    </font>
    <font>
      <sz val="14.0"/>
      <color/>
      <name val="Arial"/>
    </font>
    <font>
      <sz val="8.0"/>
      <color rgb="FF1F1F1F"/>
      <name val="&quot;Google Sans Text&quot;"/>
    </font>
    <font>
      <sz val="14.0"/>
      <color rgb="FFFFFF00"/>
      <name val="Arial"/>
    </font>
    <font>
      <sz val="9.0"/>
      <color rgb="FF1F1F1F"/>
      <name val="&quot;Google Sans Text&quot;"/>
    </font>
  </fonts>
  <fills count="3">
    <fill>
      <patternFill patternType="none"/>
    </fill>
    <fill>
      <patternFill patternType="lightGray"/>
    </fill>
    <fill>
      <patternFill patternType="solid">
        <fgColor rgb="FFDD7E6B"/>
        <bgColor rgb="FFDD7E6B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vertical="center"/>
    </xf>
    <xf borderId="0" fillId="0" fontId="4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0" fillId="0" fontId="5" numFmtId="0" xfId="0" applyFont="1"/>
    <xf borderId="0" fillId="2" fontId="6" numFmtId="0" xfId="0" applyAlignment="1" applyFill="1" applyFont="1">
      <alignment horizontal="center" vertical="center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1" width="12.57"/>
  </cols>
  <sheetData>
    <row r="1">
      <c r="A1" s="1" t="str">
        <f>IFERROR(__xludf.DUMMYFUNCTION("SPLIT(raw!A1, "","")"),"ক্রমিক নং")</f>
        <v>ক্রমিক নং</v>
      </c>
      <c r="B1" s="2" t="str">
        <f>IFERROR(__xludf.DUMMYFUNCTION("""COMPUTED_VALUE"""),"নাম")</f>
        <v>নাম</v>
      </c>
      <c r="C1" s="2" t="str">
        <f>IFERROR(__xludf.DUMMYFUNCTION("""COMPUTED_VALUE"""),"ভোটার নং")</f>
        <v>ভোটার নং</v>
      </c>
      <c r="D1" s="2" t="str">
        <f>IFERROR(__xludf.DUMMYFUNCTION("""COMPUTED_VALUE"""),"পিতা")</f>
        <v>পিতা</v>
      </c>
      <c r="E1" s="2" t="str">
        <f>IFERROR(__xludf.DUMMYFUNCTION("""COMPUTED_VALUE"""),"মাতা")</f>
        <v>মাতা</v>
      </c>
      <c r="F1" s="2" t="str">
        <f>IFERROR(__xludf.DUMMYFUNCTION("""COMPUTED_VALUE"""),"পেশা")</f>
        <v>পেশা</v>
      </c>
      <c r="G1" s="2" t="str">
        <f>IFERROR(__xludf.DUMMYFUNCTION("""COMPUTED_VALUE"""),"জন্ম তারিখ")</f>
        <v>জন্ম তারিখ</v>
      </c>
      <c r="H1" s="2" t="str">
        <f>IFERROR(__xludf.DUMMYFUNCTION("""COMPUTED_VALUE"""),"ঠিকানা")</f>
        <v>ঠিকানা</v>
      </c>
    </row>
    <row r="2">
      <c r="A2" s="1" t="str">
        <f>IFERROR(__xludf.DUMMYFUNCTION("SPLIT(raw!A2, "","")"),1070.0)</f>
        <v>1070</v>
      </c>
      <c r="B2" s="2" t="str">
        <f>IFERROR(__xludf.DUMMYFUNCTION("""COMPUTED_VALUE"""),"মোঃ ছানোয়ার হোসেন")</f>
        <v>মোঃ ছানোয়ার হোসেন</v>
      </c>
      <c r="C2" s="2" t="str">
        <f>IFERROR(__xludf.DUMMYFUNCTION("""COMPUTED_VALUE"""),"[তথ্য নেই]")</f>
        <v>[তথ্য নেই]</v>
      </c>
      <c r="D2" s="2" t="str">
        <f>IFERROR(__xludf.DUMMYFUNCTION("""COMPUTED_VALUE"""),"[তথ্য নেই]")</f>
        <v>[তথ্য নেই]</v>
      </c>
      <c r="E2" s="2" t="str">
        <f>IFERROR(__xludf.DUMMYFUNCTION("""COMPUTED_VALUE"""),"[তথ্য নেই]")</f>
        <v>[তথ্য নেই]</v>
      </c>
      <c r="F2" s="2" t="str">
        <f>IFERROR(__xludf.DUMMYFUNCTION("""COMPUTED_VALUE"""),"[তথ্য নেই]")</f>
        <v>[তথ্য নেই]</v>
      </c>
      <c r="G2" s="2" t="str">
        <f>IFERROR(__xludf.DUMMYFUNCTION("""COMPUTED_VALUE"""),"[তথ্য নেই]")</f>
        <v>[তথ্য নেই]</v>
      </c>
      <c r="H2" s="2" t="str">
        <f>IFERROR(__xludf.DUMMYFUNCTION("""COMPUTED_VALUE"""),"[তথ্য নেই]")</f>
        <v>[তথ্য নেই]</v>
      </c>
    </row>
    <row r="3">
      <c r="A3" s="1" t="str">
        <f>IFERROR(__xludf.DUMMYFUNCTION("SPLIT(raw!A3, "","")"),71.0)</f>
        <v>71</v>
      </c>
      <c r="B3" s="2" t="str">
        <f>IFERROR(__xludf.DUMMYFUNCTION("""COMPUTED_VALUE"""),"মোঃ আজিজার মন্ডল")</f>
        <v>মোঃ আজিজার মন্ডল</v>
      </c>
      <c r="C3" s="2" t="str">
        <f>IFERROR(__xludf.DUMMYFUNCTION("""COMPUTED_VALUE"""),5.7005637734E11)</f>
        <v>570056377340</v>
      </c>
      <c r="D3" s="2" t="str">
        <f>IFERROR(__xludf.DUMMYFUNCTION("""COMPUTED_VALUE"""),"[অস্পষ্ট]")</f>
        <v>[অস্পষ্ট]</v>
      </c>
      <c r="E3" s="2" t="str">
        <f>IFERROR(__xludf.DUMMYFUNCTION("""COMPUTED_VALUE"""),"মোছাঃ জাছিরন নেছা")</f>
        <v>মোছাঃ জাছিরন নেছা</v>
      </c>
      <c r="F3" s="2" t="str">
        <f>IFERROR(__xludf.DUMMYFUNCTION("""COMPUTED_VALUE"""),"কৃষক")</f>
        <v>কৃষক</v>
      </c>
      <c r="G3" s="2" t="str">
        <f>IFERROR(__xludf.DUMMYFUNCTION("""COMPUTED_VALUE"""),"১২/০৬/১৯৬৭")</f>
        <v>১২/০৬/১৯৬৭</v>
      </c>
      <c r="H3" s="2" t="str">
        <f>IFERROR(__xludf.DUMMYFUNCTION("""COMPUTED_VALUE"""),"""জালশুকা")</f>
        <v>"জালশুকা</v>
      </c>
      <c r="I3" s="2" t="str">
        <f>IFERROR(__xludf.DUMMYFUNCTION("""COMPUTED_VALUE""")," গাংনী")</f>
        <v> গাংনী</v>
      </c>
      <c r="J3" s="2" t="str">
        <f>IFERROR(__xludf.DUMMYFUNCTION("""COMPUTED_VALUE""")," মেহেরপুর""")</f>
        <v> মেহেরপুর"</v>
      </c>
    </row>
    <row r="4">
      <c r="A4" s="1" t="str">
        <f>IFERROR(__xludf.DUMMYFUNCTION("SPLIT(raw!A4, "","")"),73.0)</f>
        <v>73</v>
      </c>
      <c r="B4" s="2" t="str">
        <f>IFERROR(__xludf.DUMMYFUNCTION("""COMPUTED_VALUE"""),"মোঃ আব্দুল মালেক")</f>
        <v>মোঃ আব্দুল মালেক</v>
      </c>
      <c r="C4" s="2" t="str">
        <f>IFERROR(__xludf.DUMMYFUNCTION("""COMPUTED_VALUE"""),5.70056377346E11)</f>
        <v>570056377346</v>
      </c>
      <c r="D4" s="2" t="str">
        <f>IFERROR(__xludf.DUMMYFUNCTION("""COMPUTED_VALUE"""),"খোদা বক্স")</f>
        <v>খোদা বক্স</v>
      </c>
      <c r="E4" s="2" t="str">
        <f>IFERROR(__xludf.DUMMYFUNCTION("""COMPUTED_VALUE"""),"মোছাঃ ওকিমন নেছা")</f>
        <v>মোছাঃ ওকিমন নেছা</v>
      </c>
      <c r="F4" s="2" t="str">
        <f>IFERROR(__xludf.DUMMYFUNCTION("""COMPUTED_VALUE"""),"কৃষক")</f>
        <v>কৃষক</v>
      </c>
      <c r="G4" s="2" t="str">
        <f>IFERROR(__xludf.DUMMYFUNCTION("""COMPUTED_VALUE"""),"১৬/১১/১৯৫২")</f>
        <v>১৬/১১/১৯৫২</v>
      </c>
      <c r="H4" s="2" t="str">
        <f>IFERROR(__xludf.DUMMYFUNCTION("""COMPUTED_VALUE"""),"""জালশুকা")</f>
        <v>"জালশুকা</v>
      </c>
      <c r="I4" s="2" t="str">
        <f>IFERROR(__xludf.DUMMYFUNCTION("""COMPUTED_VALUE""")," গাংনী")</f>
        <v> গাংনী</v>
      </c>
      <c r="J4" s="2" t="str">
        <f>IFERROR(__xludf.DUMMYFUNCTION("""COMPUTED_VALUE""")," মেহেরপুর""")</f>
        <v> মেহেরপুর"</v>
      </c>
    </row>
    <row r="5">
      <c r="A5" s="1" t="str">
        <f>IFERROR(__xludf.DUMMYFUNCTION("SPLIT(raw!A5, "","")"),72.0)</f>
        <v>72</v>
      </c>
      <c r="B5" s="2" t="str">
        <f>IFERROR(__xludf.DUMMYFUNCTION("""COMPUTED_VALUE"""),"মোঃ আশাদুল হক")</f>
        <v>মোঃ আশাদুল হক</v>
      </c>
      <c r="C5" s="2" t="str">
        <f>IFERROR(__xludf.DUMMYFUNCTION("""COMPUTED_VALUE"""),5.70056377343E11)</f>
        <v>570056377343</v>
      </c>
      <c r="D5" s="2" t="str">
        <f>IFERROR(__xludf.DUMMYFUNCTION("""COMPUTED_VALUE"""),"মইনদ্দীন")</f>
        <v>মইনদ্দীন</v>
      </c>
      <c r="E5" s="2" t="str">
        <f>IFERROR(__xludf.DUMMYFUNCTION("""COMPUTED_VALUE"""),"মোছাঃ জহুরা খাতুন")</f>
        <v>মোছাঃ জহুরা খাতুন</v>
      </c>
      <c r="F5" s="2" t="str">
        <f>IFERROR(__xludf.DUMMYFUNCTION("""COMPUTED_VALUE"""),"ব্যবসা")</f>
        <v>ব্যবসা</v>
      </c>
      <c r="G5" s="2" t="str">
        <f>IFERROR(__xludf.DUMMYFUNCTION("""COMPUTED_VALUE"""),"০১/০৫/১৯৬৮")</f>
        <v>০১/০৫/১৯৬৮</v>
      </c>
      <c r="H5" s="2" t="str">
        <f>IFERROR(__xludf.DUMMYFUNCTION("""COMPUTED_VALUE"""),"""জালশুকা")</f>
        <v>"জালশুকা</v>
      </c>
      <c r="I5" s="2" t="str">
        <f>IFERROR(__xludf.DUMMYFUNCTION("""COMPUTED_VALUE""")," গাংনী")</f>
        <v> গাংনী</v>
      </c>
      <c r="J5" s="2" t="str">
        <f>IFERROR(__xludf.DUMMYFUNCTION("""COMPUTED_VALUE""")," মেহেরপুর""")</f>
        <v> মেহেরপুর"</v>
      </c>
    </row>
    <row r="6">
      <c r="A6" s="1" t="str">
        <f>IFERROR(__xludf.DUMMYFUNCTION("SPLIT(raw!A6, "","")"),74.0)</f>
        <v>74</v>
      </c>
      <c r="B6" s="2" t="str">
        <f>IFERROR(__xludf.DUMMYFUNCTION("""COMPUTED_VALUE"""),"মোঃ বাবুল হোসেন")</f>
        <v>মোঃ বাবুল হোসেন</v>
      </c>
      <c r="C6" s="2" t="str">
        <f>IFERROR(__xludf.DUMMYFUNCTION("""COMPUTED_VALUE"""),5.70056377347E11)</f>
        <v>570056377347</v>
      </c>
      <c r="D6" s="2" t="str">
        <f>IFERROR(__xludf.DUMMYFUNCTION("""COMPUTED_VALUE"""),"মোঃ আঃ মালেক")</f>
        <v>মোঃ আঃ মালেক</v>
      </c>
      <c r="E6" s="2" t="str">
        <f>IFERROR(__xludf.DUMMYFUNCTION("""COMPUTED_VALUE"""),"মোছাঃ মনজুরা খাতুন")</f>
        <v>মোছাঃ মনজুরা খাতুন</v>
      </c>
      <c r="F6" s="2" t="str">
        <f>IFERROR(__xludf.DUMMYFUNCTION("""COMPUTED_VALUE"""),"কৃষক")</f>
        <v>কৃষক</v>
      </c>
      <c r="G6" s="2" t="str">
        <f>IFERROR(__xludf.DUMMYFUNCTION("""COMPUTED_VALUE"""),"১৫/১০/১৯৮৭")</f>
        <v>১৫/১০/১৯৮৭</v>
      </c>
      <c r="H6" s="2" t="str">
        <f>IFERROR(__xludf.DUMMYFUNCTION("""COMPUTED_VALUE"""),"""জালশুকা")</f>
        <v>"জালশুকা</v>
      </c>
      <c r="I6" s="2" t="str">
        <f>IFERROR(__xludf.DUMMYFUNCTION("""COMPUTED_VALUE""")," গাংনী")</f>
        <v> গাংনী</v>
      </c>
      <c r="J6" s="2" t="str">
        <f>IFERROR(__xludf.DUMMYFUNCTION("""COMPUTED_VALUE""")," মেহেরপুর""")</f>
        <v> মেহেরপুর"</v>
      </c>
    </row>
    <row r="7">
      <c r="A7" s="1" t="str">
        <f>IFERROR(__xludf.DUMMYFUNCTION("SPLIT(raw!A7, "","")"),75.0)</f>
        <v>75</v>
      </c>
      <c r="B7" s="2" t="str">
        <f>IFERROR(__xludf.DUMMYFUNCTION("""COMPUTED_VALUE"""),"মোঃ বিল্লাল হোসেন")</f>
        <v>মোঃ বিল্লাল হোসেন</v>
      </c>
      <c r="C7" s="2" t="str">
        <f>IFERROR(__xludf.DUMMYFUNCTION("""COMPUTED_VALUE"""),5.70056377348E11)</f>
        <v>570056377348</v>
      </c>
      <c r="D7" s="2" t="str">
        <f>IFERROR(__xludf.DUMMYFUNCTION("""COMPUTED_VALUE"""),"মোঃ আঃ খালেক")</f>
        <v>মোঃ আঃ খালেক</v>
      </c>
      <c r="E7" s="2" t="str">
        <f>IFERROR(__xludf.DUMMYFUNCTION("""COMPUTED_VALUE"""),"মোছাঃ মমতাজ বেগম")</f>
        <v>মোছাঃ মমতাজ বেগম</v>
      </c>
      <c r="F7" s="2" t="str">
        <f>IFERROR(__xludf.DUMMYFUNCTION("""COMPUTED_VALUE"""),"কৃষক")</f>
        <v>কৃষক</v>
      </c>
      <c r="G7" s="2" t="str">
        <f>IFERROR(__xludf.DUMMYFUNCTION("""COMPUTED_VALUE"""),"১৯/১০/১৯৮৮")</f>
        <v>১৯/১০/১৯৮৮</v>
      </c>
      <c r="H7" s="2" t="str">
        <f>IFERROR(__xludf.DUMMYFUNCTION("""COMPUTED_VALUE"""),"""জালশুকা")</f>
        <v>"জালশুকা</v>
      </c>
      <c r="I7" s="2" t="str">
        <f>IFERROR(__xludf.DUMMYFUNCTION("""COMPUTED_VALUE""")," গাংনী")</f>
        <v> গাংনী</v>
      </c>
      <c r="J7" s="2" t="str">
        <f>IFERROR(__xludf.DUMMYFUNCTION("""COMPUTED_VALUE""")," মেহেরপুর""")</f>
        <v> মেহেরপুর"</v>
      </c>
    </row>
    <row r="8">
      <c r="A8" s="1" t="str">
        <f>IFERROR(__xludf.DUMMYFUNCTION("SPLIT(raw!A8, "","")"),76.0)</f>
        <v>76</v>
      </c>
      <c r="B8" s="2" t="str">
        <f>IFERROR(__xludf.DUMMYFUNCTION("""COMPUTED_VALUE"""),"মোঃ আব্দুল্লাহ আল মামুন")</f>
        <v>মোঃ আব্দুল্লাহ আল মামুন</v>
      </c>
      <c r="C8" s="2" t="str">
        <f>IFERROR(__xludf.DUMMYFUNCTION("""COMPUTED_VALUE"""),5.70056377349E11)</f>
        <v>570056377349</v>
      </c>
      <c r="D8" s="2" t="str">
        <f>IFERROR(__xludf.DUMMYFUNCTION("""COMPUTED_VALUE"""),"মোঃ জমশেদ আলী")</f>
        <v>মোঃ জমশেদ আলী</v>
      </c>
      <c r="E8" s="2" t="str">
        <f>IFERROR(__xludf.DUMMYFUNCTION("""COMPUTED_VALUE"""),"মোছাঃ হাসিনা খাতুন")</f>
        <v>মোছাঃ হাসিনা খাতুন</v>
      </c>
      <c r="F8" s="2" t="str">
        <f>IFERROR(__xludf.DUMMYFUNCTION("""COMPUTED_VALUE"""),"ছাত্র/ছাত্রী")</f>
        <v>ছাত্র/ছাত্রী</v>
      </c>
      <c r="G8" s="2" t="str">
        <f>IFERROR(__xludf.DUMMYFUNCTION("""COMPUTED_VALUE"""),"৩১/১২/১৯৮৬")</f>
        <v>৩১/১২/১৯৮৬</v>
      </c>
      <c r="H8" s="2" t="str">
        <f>IFERROR(__xludf.DUMMYFUNCTION("""COMPUTED_VALUE"""),"""জালশুকা")</f>
        <v>"জালশুকা</v>
      </c>
      <c r="I8" s="2" t="str">
        <f>IFERROR(__xludf.DUMMYFUNCTION("""COMPUTED_VALUE""")," গাংনী")</f>
        <v> গাংনী</v>
      </c>
      <c r="J8" s="2" t="str">
        <f>IFERROR(__xludf.DUMMYFUNCTION("""COMPUTED_VALUE""")," মেহেরপুর""")</f>
        <v> মেহেরপুর"</v>
      </c>
    </row>
    <row r="9">
      <c r="A9" s="1" t="str">
        <f>IFERROR(__xludf.DUMMYFUNCTION("SPLIT(raw!A9, "","")"),"[অস্পষ্ট]")</f>
        <v>[অস্পষ্ট]</v>
      </c>
      <c r="B9" s="2" t="str">
        <f>IFERROR(__xludf.DUMMYFUNCTION("""COMPUTED_VALUE"""),"মোঃ আজমাইল দেবেন")</f>
        <v>মোঃ আজমাইল দেবেন</v>
      </c>
      <c r="C9" s="2" t="str">
        <f>IFERROR(__xludf.DUMMYFUNCTION("""COMPUTED_VALUE"""),"[অস্পষ্ট]")</f>
        <v>[অস্পষ্ট]</v>
      </c>
      <c r="D9" s="2" t="str">
        <f>IFERROR(__xludf.DUMMYFUNCTION("""COMPUTED_VALUE"""),"মোঃ রমজান আল")</f>
        <v>মোঃ রমজান আল</v>
      </c>
      <c r="E9" s="2" t="str">
        <f>IFERROR(__xludf.DUMMYFUNCTION("""COMPUTED_VALUE"""),"মোছাঃ হাজেরা খাতুন")</f>
        <v>মোছাঃ হাজেরা খাতুন</v>
      </c>
      <c r="F9" s="2" t="str">
        <f>IFERROR(__xludf.DUMMYFUNCTION("""COMPUTED_VALUE"""),"কৃষক")</f>
        <v>কৃষক</v>
      </c>
      <c r="G9" s="2" t="str">
        <f>IFERROR(__xludf.DUMMYFUNCTION("""COMPUTED_VALUE"""),"০১/১১/১৯৮২")</f>
        <v>০১/১১/১৯৮২</v>
      </c>
      <c r="H9" s="2" t="str">
        <f>IFERROR(__xludf.DUMMYFUNCTION("""COMPUTED_VALUE"""),"""জালশুকা")</f>
        <v>"জালশুকা</v>
      </c>
      <c r="I9" s="2" t="str">
        <f>IFERROR(__xludf.DUMMYFUNCTION("""COMPUTED_VALUE""")," গাংনী")</f>
        <v> গাংনী</v>
      </c>
      <c r="J9" s="2" t="str">
        <f>IFERROR(__xludf.DUMMYFUNCTION("""COMPUTED_VALUE""")," মেহেরপুর""")</f>
        <v> মেহেরপুর"</v>
      </c>
    </row>
    <row r="10">
      <c r="A10" s="1" t="str">
        <f>IFERROR(__xludf.DUMMYFUNCTION("SPLIT(raw!A10, "","")"),77.0)</f>
        <v>77</v>
      </c>
      <c r="B10" s="2" t="str">
        <f>IFERROR(__xludf.DUMMYFUNCTION("""COMPUTED_VALUE"""),"মোঃ আমিনুল হক")</f>
        <v>মোঃ আমিনুল হক</v>
      </c>
      <c r="C10" s="2" t="str">
        <f>IFERROR(__xludf.DUMMYFUNCTION("""COMPUTED_VALUE"""),5.70056377351E11)</f>
        <v>570056377351</v>
      </c>
      <c r="D10" s="2" t="str">
        <f>IFERROR(__xludf.DUMMYFUNCTION("""COMPUTED_VALUE"""),"মোঃ আনছার মুনশী")</f>
        <v>মোঃ আনছার মুনশী</v>
      </c>
      <c r="E10" s="2" t="str">
        <f>IFERROR(__xludf.DUMMYFUNCTION("""COMPUTED_VALUE"""),"মোছাঃ ভানুয়ারা খাতুন")</f>
        <v>মোছাঃ ভানুয়ারা খাতুন</v>
      </c>
      <c r="F10" s="2" t="str">
        <f>IFERROR(__xludf.DUMMYFUNCTION("""COMPUTED_VALUE"""),"কৃষক")</f>
        <v>কৃষক</v>
      </c>
      <c r="G10" s="2" t="str">
        <f>IFERROR(__xludf.DUMMYFUNCTION("""COMPUTED_VALUE"""),"২২/১০/১৯৮৪")</f>
        <v>২২/১০/১৯৮৪</v>
      </c>
      <c r="H10" s="2" t="str">
        <f>IFERROR(__xludf.DUMMYFUNCTION("""COMPUTED_VALUE"""),"""জালশুকা")</f>
        <v>"জালশুকা</v>
      </c>
      <c r="I10" s="2" t="str">
        <f>IFERROR(__xludf.DUMMYFUNCTION("""COMPUTED_VALUE""")," গাংনী")</f>
        <v> গাংনী</v>
      </c>
      <c r="J10" s="2" t="str">
        <f>IFERROR(__xludf.DUMMYFUNCTION("""COMPUTED_VALUE""")," মেহেরপুর""")</f>
        <v> মেহেরপুর"</v>
      </c>
    </row>
    <row r="11">
      <c r="A11" s="1" t="str">
        <f>IFERROR(__xludf.DUMMYFUNCTION("SPLIT(raw!A11, "","")"),78.0)</f>
        <v>78</v>
      </c>
      <c r="B11" s="2" t="str">
        <f>IFERROR(__xludf.DUMMYFUNCTION("""COMPUTED_VALUE"""),"মোঃ বাবলু আলী")</f>
        <v>মোঃ বাবলু আলী</v>
      </c>
      <c r="C11" s="2" t="str">
        <f>IFERROR(__xludf.DUMMYFUNCTION("""COMPUTED_VALUE"""),5.70056377355E11)</f>
        <v>570056377355</v>
      </c>
      <c r="D11" s="2" t="str">
        <f>IFERROR(__xludf.DUMMYFUNCTION("""COMPUTED_VALUE"""),"মোঃ আবুল হোসেন")</f>
        <v>মোঃ আবুল হোসেন</v>
      </c>
      <c r="E11" s="2" t="str">
        <f>IFERROR(__xludf.DUMMYFUNCTION("""COMPUTED_VALUE"""),"মোছাঃ ইশারন নেছা")</f>
        <v>মোছাঃ ইশারন নেছা</v>
      </c>
      <c r="F11" s="2" t="str">
        <f>IFERROR(__xludf.DUMMYFUNCTION("""COMPUTED_VALUE"""),"কৃষক")</f>
        <v>কৃষক</v>
      </c>
      <c r="G11" s="2" t="str">
        <f>IFERROR(__xludf.DUMMYFUNCTION("""COMPUTED_VALUE"""),"১৯/১১/১৯৬৫")</f>
        <v>১৯/১১/১৯৬৫</v>
      </c>
      <c r="H11" s="2" t="str">
        <f>IFERROR(__xludf.DUMMYFUNCTION("""COMPUTED_VALUE"""),"""জালশুকা")</f>
        <v>"জালশুকা</v>
      </c>
      <c r="I11" s="2" t="str">
        <f>IFERROR(__xludf.DUMMYFUNCTION("""COMPUTED_VALUE""")," গাংনী")</f>
        <v> গাংনী</v>
      </c>
      <c r="J11" s="2" t="str">
        <f>IFERROR(__xludf.DUMMYFUNCTION("""COMPUTED_VALUE""")," মেহেরপুর""")</f>
        <v> মেহেরপুর"</v>
      </c>
    </row>
    <row r="12">
      <c r="A12" s="1" t="str">
        <f>IFERROR(__xludf.DUMMYFUNCTION("SPLIT(raw!A12, "","")"),179.0)</f>
        <v>179</v>
      </c>
      <c r="B12" s="2" t="str">
        <f>IFERROR(__xludf.DUMMYFUNCTION("""COMPUTED_VALUE"""),"মোঃ আনছার আলী")</f>
        <v>মোঃ আনছার আলী</v>
      </c>
      <c r="C12" s="2" t="str">
        <f>IFERROR(__xludf.DUMMYFUNCTION("""COMPUTED_VALUE"""),5.70056377357E11)</f>
        <v>570056377357</v>
      </c>
      <c r="D12" s="2" t="str">
        <f>IFERROR(__xludf.DUMMYFUNCTION("""COMPUTED_VALUE"""),"আজাহার মুনশি")</f>
        <v>আজাহার মুনশি</v>
      </c>
      <c r="E12" s="2" t="str">
        <f>IFERROR(__xludf.DUMMYFUNCTION("""COMPUTED_VALUE"""),"রহতন নেছা")</f>
        <v>রহতন নেছা</v>
      </c>
      <c r="F12" s="2" t="str">
        <f>IFERROR(__xludf.DUMMYFUNCTION("""COMPUTED_VALUE"""),"[অস্পষ্ট]")</f>
        <v>[অস্পষ্ট]</v>
      </c>
      <c r="G12" s="2" t="str">
        <f>IFERROR(__xludf.DUMMYFUNCTION("""COMPUTED_VALUE"""),"১৫/০২/১৯৪৭")</f>
        <v>১৫/০২/১৯৪৭</v>
      </c>
      <c r="H12" s="2" t="str">
        <f>IFERROR(__xludf.DUMMYFUNCTION("""COMPUTED_VALUE"""),"""জালশুকা")</f>
        <v>"জালশুকা</v>
      </c>
      <c r="I12" s="2" t="str">
        <f>IFERROR(__xludf.DUMMYFUNCTION("""COMPUTED_VALUE""")," গাংনী")</f>
        <v> গাংনী</v>
      </c>
      <c r="J12" s="2" t="str">
        <f>IFERROR(__xludf.DUMMYFUNCTION("""COMPUTED_VALUE""")," মেহেরপুর""")</f>
        <v> মেহেরপুর"</v>
      </c>
    </row>
    <row r="13">
      <c r="A13" s="1" t="str">
        <f>IFERROR(__xludf.DUMMYFUNCTION("SPLIT(raw!A13, "","")"),82.0)</f>
        <v>82</v>
      </c>
      <c r="B13" s="2" t="str">
        <f>IFERROR(__xludf.DUMMYFUNCTION("""COMPUTED_VALUE"""),"মোঃ শরিফল ইসলাম")</f>
        <v>মোঃ শরিফল ইসলাম</v>
      </c>
      <c r="C13" s="2" t="str">
        <f>IFERROR(__xludf.DUMMYFUNCTION("""COMPUTED_VALUE"""),5.70056377374E11)</f>
        <v>570056377374</v>
      </c>
      <c r="D13" s="2" t="str">
        <f>IFERROR(__xludf.DUMMYFUNCTION("""COMPUTED_VALUE"""),"জব্বার মধ্য")</f>
        <v>জব্বার মধ্য</v>
      </c>
      <c r="E13" s="2" t="str">
        <f>IFERROR(__xludf.DUMMYFUNCTION("""COMPUTED_VALUE"""),"রমেলা খাতুন")</f>
        <v>রমেলা খাতুন</v>
      </c>
      <c r="F13" s="2" t="str">
        <f>IFERROR(__xludf.DUMMYFUNCTION("""COMPUTED_VALUE"""),"কৃষক")</f>
        <v>কৃষক</v>
      </c>
      <c r="G13" s="2" t="str">
        <f>IFERROR(__xludf.DUMMYFUNCTION("""COMPUTED_VALUE"""),"১৫/০৭/১৯৬৯")</f>
        <v>১৫/০৭/১৯৬৯</v>
      </c>
      <c r="H13" s="2" t="str">
        <f>IFERROR(__xludf.DUMMYFUNCTION("""COMPUTED_VALUE"""),"""জালশুকা")</f>
        <v>"জালশুকা</v>
      </c>
      <c r="I13" s="2" t="str">
        <f>IFERROR(__xludf.DUMMYFUNCTION("""COMPUTED_VALUE""")," গাংনী")</f>
        <v> গাংনী</v>
      </c>
      <c r="J13" s="2" t="str">
        <f>IFERROR(__xludf.DUMMYFUNCTION("""COMPUTED_VALUE""")," মেহেরপুর""")</f>
        <v> মেহেরপুর"</v>
      </c>
    </row>
    <row r="14">
      <c r="A14" s="1" t="str">
        <f>IFERROR(__xludf.DUMMYFUNCTION("SPLIT(raw!A14, "","")"),"[অস্পষ্ট]")</f>
        <v>[অস্পষ্ট]</v>
      </c>
      <c r="B14" s="2" t="str">
        <f>IFERROR(__xludf.DUMMYFUNCTION("""COMPUTED_VALUE"""),"ফরিদ আলী")</f>
        <v>ফরিদ আলী</v>
      </c>
      <c r="C14" s="2" t="str">
        <f>IFERROR(__xludf.DUMMYFUNCTION("""COMPUTED_VALUE"""),"[অস্পষ্ট]")</f>
        <v>[অস্পষ্ট]</v>
      </c>
      <c r="D14" s="2" t="str">
        <f>IFERROR(__xludf.DUMMYFUNCTION("""COMPUTED_VALUE"""),"বক্কর")</f>
        <v>বক্কর</v>
      </c>
      <c r="E14" s="2" t="str">
        <f>IFERROR(__xludf.DUMMYFUNCTION("""COMPUTED_VALUE"""),"জবেদা খাতুন")</f>
        <v>জবেদা খাতুন</v>
      </c>
      <c r="F14" s="2" t="str">
        <f>IFERROR(__xludf.DUMMYFUNCTION("""COMPUTED_VALUE"""),"[অস্পষ্ট]")</f>
        <v>[অস্পষ্ট]</v>
      </c>
      <c r="G14" s="2" t="str">
        <f>IFERROR(__xludf.DUMMYFUNCTION("""COMPUTED_VALUE"""),"১৪/১০/১৯৭৭")</f>
        <v>১৪/১০/১৯৭৭</v>
      </c>
      <c r="H14" s="2" t="str">
        <f>IFERROR(__xludf.DUMMYFUNCTION("""COMPUTED_VALUE"""),"""জালশুকা")</f>
        <v>"জালশুকা</v>
      </c>
      <c r="I14" s="2" t="str">
        <f>IFERROR(__xludf.DUMMYFUNCTION("""COMPUTED_VALUE""")," গাংনী")</f>
        <v> গাংনী</v>
      </c>
      <c r="J14" s="2" t="str">
        <f>IFERROR(__xludf.DUMMYFUNCTION("""COMPUTED_VALUE""")," মেহেরপুর""")</f>
        <v> মেহেরপুর"</v>
      </c>
    </row>
    <row r="15">
      <c r="A15" s="1" t="str">
        <f>IFERROR(__xludf.DUMMYFUNCTION("SPLIT(raw!A15, "","")"),80.0)</f>
        <v>80</v>
      </c>
      <c r="B15" s="2" t="str">
        <f>IFERROR(__xludf.DUMMYFUNCTION("""COMPUTED_VALUE"""),"মোঃ [অস্পষ্ট]")</f>
        <v>মোঃ [অস্পষ্ট]</v>
      </c>
      <c r="C15" s="2" t="str">
        <f>IFERROR(__xludf.DUMMYFUNCTION("""COMPUTED_VALUE"""),5.70056347361E11)</f>
        <v>570056347361</v>
      </c>
      <c r="D15" s="2" t="str">
        <f>IFERROR(__xludf.DUMMYFUNCTION("""COMPUTED_VALUE"""),"মোঃ আবু")</f>
        <v>মোঃ আবু</v>
      </c>
      <c r="E15" s="2" t="str">
        <f>IFERROR(__xludf.DUMMYFUNCTION("""COMPUTED_VALUE"""),"মোছাঃ [অস্পষ্ট]")</f>
        <v>মোছাঃ [অস্পষ্ট]</v>
      </c>
      <c r="F15" s="2" t="str">
        <f>IFERROR(__xludf.DUMMYFUNCTION("""COMPUTED_VALUE"""),"কৃষক")</f>
        <v>কৃষক</v>
      </c>
      <c r="G15" s="2" t="str">
        <f>IFERROR(__xludf.DUMMYFUNCTION("""COMPUTED_VALUE"""),"[অস্পষ্ট]")</f>
        <v>[অস্পষ্ট]</v>
      </c>
      <c r="H15" s="2" t="str">
        <f>IFERROR(__xludf.DUMMYFUNCTION("""COMPUTED_VALUE"""),"""জালশুকা")</f>
        <v>"জালশুকা</v>
      </c>
      <c r="I15" s="2" t="str">
        <f>IFERROR(__xludf.DUMMYFUNCTION("""COMPUTED_VALUE""")," গাংনী")</f>
        <v> গাংনী</v>
      </c>
      <c r="J15" s="2" t="str">
        <f>IFERROR(__xludf.DUMMYFUNCTION("""COMPUTED_VALUE""")," মেহেরপুর""")</f>
        <v> মেহেরপুর"</v>
      </c>
    </row>
    <row r="16">
      <c r="A16" s="1" t="str">
        <f>IFERROR(__xludf.DUMMYFUNCTION("SPLIT(raw!A16, "","")"),83.0)</f>
        <v>83</v>
      </c>
      <c r="B16" s="2" t="str">
        <f>IFERROR(__xludf.DUMMYFUNCTION("""COMPUTED_VALUE"""),"মোঃ সিদ্দিক আলী")</f>
        <v>মোঃ সিদ্দিক আলী</v>
      </c>
      <c r="C16" s="2" t="str">
        <f>IFERROR(__xludf.DUMMYFUNCTION("""COMPUTED_VALUE"""),5.70056377375E11)</f>
        <v>570056377375</v>
      </c>
      <c r="D16" s="2" t="str">
        <f>IFERROR(__xludf.DUMMYFUNCTION("""COMPUTED_VALUE"""),"রুস্তম মন্ডল")</f>
        <v>রুস্তম মন্ডল</v>
      </c>
      <c r="E16" s="2" t="str">
        <f>IFERROR(__xludf.DUMMYFUNCTION("""COMPUTED_VALUE"""),"মোছাঃ মনোয়ারা খাতুন")</f>
        <v>মোছাঃ মনোয়ারা খাতুন</v>
      </c>
      <c r="F16" s="2" t="str">
        <f>IFERROR(__xludf.DUMMYFUNCTION("""COMPUTED_VALUE"""),"কৃষক")</f>
        <v>কৃষক</v>
      </c>
      <c r="G16" s="2" t="str">
        <f>IFERROR(__xludf.DUMMYFUNCTION("""COMPUTED_VALUE"""),"১৬/০৫/১৯৭৭")</f>
        <v>১৬/০৫/১৯৭৭</v>
      </c>
      <c r="H16" s="2" t="str">
        <f>IFERROR(__xludf.DUMMYFUNCTION("""COMPUTED_VALUE"""),"""জালশুকা")</f>
        <v>"জালশুকা</v>
      </c>
      <c r="I16" s="2" t="str">
        <f>IFERROR(__xludf.DUMMYFUNCTION("""COMPUTED_VALUE""")," গাংনী")</f>
        <v> গাংনী</v>
      </c>
      <c r="J16" s="2" t="str">
        <f>IFERROR(__xludf.DUMMYFUNCTION("""COMPUTED_VALUE""")," মেহেরপুর""")</f>
        <v> মেহেরপুর"</v>
      </c>
    </row>
    <row r="17">
      <c r="A17" s="1" t="str">
        <f>IFERROR(__xludf.DUMMYFUNCTION("SPLIT(raw!A17, "","")"),86.0)</f>
        <v>86</v>
      </c>
      <c r="B17" s="2" t="str">
        <f>IFERROR(__xludf.DUMMYFUNCTION("""COMPUTED_VALUE"""),"মোঃ আমজাদ হোসেন")</f>
        <v>মোঃ আমজাদ হোসেন</v>
      </c>
      <c r="C17" s="2" t="str">
        <f>IFERROR(__xludf.DUMMYFUNCTION("""COMPUTED_VALUE"""),5.70056377381E11)</f>
        <v>570056377381</v>
      </c>
      <c r="D17" s="2" t="str">
        <f>IFERROR(__xludf.DUMMYFUNCTION("""COMPUTED_VALUE"""),"ইয়াকুৰ আলী")</f>
        <v>ইয়াকুৰ আলী</v>
      </c>
      <c r="E17" s="2" t="str">
        <f>IFERROR(__xludf.DUMMYFUNCTION("""COMPUTED_VALUE"""),"খাতেজান নেছ")</f>
        <v>খাতেজান নেছ</v>
      </c>
      <c r="F17" s="2" t="str">
        <f>IFERROR(__xludf.DUMMYFUNCTION("""COMPUTED_VALUE"""),"কৃষক")</f>
        <v>কৃষক</v>
      </c>
      <c r="G17" s="2" t="str">
        <f>IFERROR(__xludf.DUMMYFUNCTION("""COMPUTED_VALUE"""),"১৮/০৪/১৯৫২")</f>
        <v>১৮/০৪/১৯৫২</v>
      </c>
      <c r="H17" s="2" t="str">
        <f>IFERROR(__xludf.DUMMYFUNCTION("""COMPUTED_VALUE"""),"""জালশুকা")</f>
        <v>"জালশুকা</v>
      </c>
      <c r="I17" s="2" t="str">
        <f>IFERROR(__xludf.DUMMYFUNCTION("""COMPUTED_VALUE""")," গাংনী")</f>
        <v> গাংনী</v>
      </c>
      <c r="J17" s="2" t="str">
        <f>IFERROR(__xludf.DUMMYFUNCTION("""COMPUTED_VALUE""")," মেহেরপুর""")</f>
        <v> মেহেরপুর"</v>
      </c>
    </row>
    <row r="18">
      <c r="A18" s="1" t="str">
        <f>IFERROR(__xludf.DUMMYFUNCTION("SPLIT(raw!A18, "","")"),84.0)</f>
        <v>84</v>
      </c>
      <c r="B18" s="2" t="str">
        <f>IFERROR(__xludf.DUMMYFUNCTION("""COMPUTED_VALUE"""),"মোঃ আনারুল ইসলাম")</f>
        <v>মোঃ আনারুল ইসলাম</v>
      </c>
      <c r="C18" s="2" t="str">
        <f>IFERROR(__xludf.DUMMYFUNCTION("""COMPUTED_VALUE"""),5.70056377377E11)</f>
        <v>570056377377</v>
      </c>
      <c r="D18" s="2" t="str">
        <f>IFERROR(__xludf.DUMMYFUNCTION("""COMPUTED_VALUE"""),"আকবর আলী")</f>
        <v>আকবর আলী</v>
      </c>
      <c r="E18" s="2" t="str">
        <f>IFERROR(__xludf.DUMMYFUNCTION("""COMPUTED_VALUE"""),"রয়মন নেছা")</f>
        <v>রয়মন নেছা</v>
      </c>
      <c r="F18" s="2" t="str">
        <f>IFERROR(__xludf.DUMMYFUNCTION("""COMPUTED_VALUE"""),"কৃষক")</f>
        <v>কৃষক</v>
      </c>
      <c r="G18" s="2" t="str">
        <f>IFERROR(__xludf.DUMMYFUNCTION("""COMPUTED_VALUE"""),"১০/০৬/১৯৭৩")</f>
        <v>১০/০৬/১৯৭৩</v>
      </c>
      <c r="H18" s="2" t="str">
        <f>IFERROR(__xludf.DUMMYFUNCTION("""COMPUTED_VALUE"""),"""জালশুকা")</f>
        <v>"জালশুকা</v>
      </c>
      <c r="I18" s="2" t="str">
        <f>IFERROR(__xludf.DUMMYFUNCTION("""COMPUTED_VALUE""")," গাংনী")</f>
        <v> গাংনী</v>
      </c>
      <c r="J18" s="2" t="str">
        <f>IFERROR(__xludf.DUMMYFUNCTION("""COMPUTED_VALUE""")," মেহেরপুর""")</f>
        <v> মেহেরপুর"</v>
      </c>
    </row>
    <row r="19">
      <c r="A19" s="1" t="str">
        <f>IFERROR(__xludf.DUMMYFUNCTION("SPLIT(raw!A19, "","")"),85.0)</f>
        <v>85</v>
      </c>
      <c r="B19" s="2" t="str">
        <f>IFERROR(__xludf.DUMMYFUNCTION("""COMPUTED_VALUE"""),"মোঃ নূর ইসলাম")</f>
        <v>মোঃ নূর ইসলাম</v>
      </c>
      <c r="C19" s="2" t="str">
        <f>IFERROR(__xludf.DUMMYFUNCTION("""COMPUTED_VALUE"""),5.70056377378E11)</f>
        <v>570056377378</v>
      </c>
      <c r="D19" s="2" t="str">
        <f>IFERROR(__xludf.DUMMYFUNCTION("""COMPUTED_VALUE"""),"ইয়াকুব আলী")</f>
        <v>ইয়াকুব আলী</v>
      </c>
      <c r="E19" s="2" t="str">
        <f>IFERROR(__xludf.DUMMYFUNCTION("""COMPUTED_VALUE"""),"খাতেজান নেছা")</f>
        <v>খাতেজান নেছা</v>
      </c>
      <c r="F19" s="2" t="str">
        <f>IFERROR(__xludf.DUMMYFUNCTION("""COMPUTED_VALUE"""),"কৃষক")</f>
        <v>কৃষক</v>
      </c>
      <c r="G19" s="2" t="str">
        <f>IFERROR(__xludf.DUMMYFUNCTION("""COMPUTED_VALUE"""),"২৫/০৩/১৯৬১")</f>
        <v>২৫/০৩/১৯৬১</v>
      </c>
      <c r="H19" s="2" t="str">
        <f>IFERROR(__xludf.DUMMYFUNCTION("""COMPUTED_VALUE"""),"""জালশুকা")</f>
        <v>"জালশুকা</v>
      </c>
      <c r="I19" s="2" t="str">
        <f>IFERROR(__xludf.DUMMYFUNCTION("""COMPUTED_VALUE""")," গাংনী")</f>
        <v> গাংনী</v>
      </c>
      <c r="J19" s="2" t="str">
        <f>IFERROR(__xludf.DUMMYFUNCTION("""COMPUTED_VALUE""")," মেহেরপুর""")</f>
        <v> মেহেরপুর"</v>
      </c>
    </row>
    <row r="20">
      <c r="A20" s="1" t="str">
        <f>IFERROR(__xludf.DUMMYFUNCTION("SPLIT(raw!A20, "","")"),87.0)</f>
        <v>87</v>
      </c>
      <c r="B20" s="2" t="str">
        <f>IFERROR(__xludf.DUMMYFUNCTION("""COMPUTED_VALUE"""),"মোঃ শহিদুল ইসলাম")</f>
        <v>মোঃ শহিদুল ইসলাম</v>
      </c>
      <c r="C20" s="2" t="str">
        <f>IFERROR(__xludf.DUMMYFUNCTION("""COMPUTED_VALUE"""),5.70056377384E11)</f>
        <v>570056377384</v>
      </c>
      <c r="D20" s="2" t="str">
        <f>IFERROR(__xludf.DUMMYFUNCTION("""COMPUTED_VALUE"""),"জব্বার মধা")</f>
        <v>জব্বার মধা</v>
      </c>
      <c r="E20" s="2" t="str">
        <f>IFERROR(__xludf.DUMMYFUNCTION("""COMPUTED_VALUE"""),"রমেলা খাতুন")</f>
        <v>রমেলা খাতুন</v>
      </c>
      <c r="F20" s="2" t="str">
        <f>IFERROR(__xludf.DUMMYFUNCTION("""COMPUTED_VALUE"""),"কৃষক")</f>
        <v>কৃষক</v>
      </c>
      <c r="G20" s="2" t="str">
        <f>IFERROR(__xludf.DUMMYFUNCTION("""COMPUTED_VALUE"""),"১১/০৬/১৯৬৭")</f>
        <v>১১/০৬/১৯৬৭</v>
      </c>
      <c r="H20" s="2" t="str">
        <f>IFERROR(__xludf.DUMMYFUNCTION("""COMPUTED_VALUE"""),"""জালশুকা")</f>
        <v>"জালশুকা</v>
      </c>
      <c r="I20" s="2" t="str">
        <f>IFERROR(__xludf.DUMMYFUNCTION("""COMPUTED_VALUE""")," গাংনী")</f>
        <v> গাংনী</v>
      </c>
      <c r="J20" s="2" t="str">
        <f>IFERROR(__xludf.DUMMYFUNCTION("""COMPUTED_VALUE""")," মেহেরপুর""")</f>
        <v> মেহেরপুর"</v>
      </c>
    </row>
    <row r="21" ht="15.75" customHeight="1">
      <c r="A21" s="1" t="str">
        <f>IFERROR(__xludf.DUMMYFUNCTION("SPLIT(raw!A21, "","")"),160.0)</f>
        <v>160</v>
      </c>
      <c r="B21" s="2" t="str">
        <f>IFERROR(__xludf.DUMMYFUNCTION("""COMPUTED_VALUE"""),"মোঃ খবির উদ্দীন")</f>
        <v>মোঃ খবির উদ্দীন</v>
      </c>
      <c r="C21" s="2" t="str">
        <f>IFERROR(__xludf.DUMMYFUNCTION("""COMPUTED_VALUE"""),5.70056378103E11)</f>
        <v>570056378103</v>
      </c>
      <c r="D21" s="2" t="str">
        <f>IFERROR(__xludf.DUMMYFUNCTION("""COMPUTED_VALUE"""),"ওয়াজ বক্স মালিথা")</f>
        <v>ওয়াজ বক্স মালিথা</v>
      </c>
      <c r="E21" s="2" t="str">
        <f>IFERROR(__xludf.DUMMYFUNCTION("""COMPUTED_VALUE"""),"মোছাঃ ইজারন নেছা")</f>
        <v>মোছাঃ ইজারন নেছা</v>
      </c>
      <c r="F21" s="2" t="str">
        <f>IFERROR(__xludf.DUMMYFUNCTION("""COMPUTED_VALUE"""),"কৃষক")</f>
        <v>কৃষক</v>
      </c>
      <c r="G21" s="2" t="str">
        <f>IFERROR(__xludf.DUMMYFUNCTION("""COMPUTED_VALUE"""),"১০/০২/১৯৬১")</f>
        <v>১০/০২/১৯৬১</v>
      </c>
      <c r="H21" s="2" t="str">
        <f>IFERROR(__xludf.DUMMYFUNCTION("""COMPUTED_VALUE"""),"""জালশুকা")</f>
        <v>"জালশুকা</v>
      </c>
      <c r="I21" s="2" t="str">
        <f>IFERROR(__xludf.DUMMYFUNCTION("""COMPUTED_VALUE""")," গাংনী")</f>
        <v> গাংনী</v>
      </c>
      <c r="J21" s="2" t="str">
        <f>IFERROR(__xludf.DUMMYFUNCTION("""COMPUTED_VALUE""")," মেহেরপুর""")</f>
        <v> মেহেরপুর"</v>
      </c>
    </row>
    <row r="22" ht="15.75" customHeight="1">
      <c r="A22" s="1" t="str">
        <f>IFERROR(__xludf.DUMMYFUNCTION("SPLIT(raw!A22, "","")"),161.0)</f>
        <v>161</v>
      </c>
      <c r="B22" s="2" t="str">
        <f>IFERROR(__xludf.DUMMYFUNCTION("""COMPUTED_VALUE"""),"মোঃ দবির উদ্দিন")</f>
        <v>মোঃ দবির উদ্দিন</v>
      </c>
      <c r="C22" s="2" t="str">
        <f>IFERROR(__xludf.DUMMYFUNCTION("""COMPUTED_VALUE"""),5.70056378104E11)</f>
        <v>570056378104</v>
      </c>
      <c r="D22" s="2" t="str">
        <f>IFERROR(__xludf.DUMMYFUNCTION("""COMPUTED_VALUE"""),"ওয়াজ বক্স মালিথা")</f>
        <v>ওয়াজ বক্স মালিথা</v>
      </c>
      <c r="E22" s="2" t="str">
        <f>IFERROR(__xludf.DUMMYFUNCTION("""COMPUTED_VALUE"""),"মোছাঃ ইজারন নেছা")</f>
        <v>মোছাঃ ইজারন নেছা</v>
      </c>
      <c r="F22" s="2" t="str">
        <f>IFERROR(__xludf.DUMMYFUNCTION("""COMPUTED_VALUE"""),"কৃষক")</f>
        <v>কৃষক</v>
      </c>
      <c r="G22" s="2" t="str">
        <f>IFERROR(__xludf.DUMMYFUNCTION("""COMPUTED_VALUE"""),"২০/০২/১৯৫৯")</f>
        <v>২০/০২/১৯৫৯</v>
      </c>
      <c r="H22" s="2" t="str">
        <f>IFERROR(__xludf.DUMMYFUNCTION("""COMPUTED_VALUE"""),"""জালশুকা")</f>
        <v>"জালশুকা</v>
      </c>
      <c r="I22" s="2" t="str">
        <f>IFERROR(__xludf.DUMMYFUNCTION("""COMPUTED_VALUE""")," গাংনী")</f>
        <v> গাংনী</v>
      </c>
      <c r="J22" s="2" t="str">
        <f>IFERROR(__xludf.DUMMYFUNCTION("""COMPUTED_VALUE""")," মেহেরপুর""")</f>
        <v> মেহেরপুর"</v>
      </c>
    </row>
    <row r="23" ht="15.75" customHeight="1">
      <c r="A23" s="1" t="str">
        <f>IFERROR(__xludf.DUMMYFUNCTION("SPLIT(raw!A23, "","")"),162.0)</f>
        <v>162</v>
      </c>
      <c r="B23" s="2" t="str">
        <f>IFERROR(__xludf.DUMMYFUNCTION("""COMPUTED_VALUE"""),"মোঃ মুকুল হোসেন")</f>
        <v>মোঃ মুকুল হোসেন</v>
      </c>
      <c r="C23" s="2" t="str">
        <f>IFERROR(__xludf.DUMMYFUNCTION("""COMPUTED_VALUE"""),5.70056378105E11)</f>
        <v>570056378105</v>
      </c>
      <c r="D23" s="2" t="str">
        <f>IFERROR(__xludf.DUMMYFUNCTION("""COMPUTED_VALUE"""),"মোঃ মনসুর আলী")</f>
        <v>মোঃ মনসুর আলী</v>
      </c>
      <c r="E23" s="2" t="str">
        <f>IFERROR(__xludf.DUMMYFUNCTION("""COMPUTED_VALUE"""),"মোছাঃ কহিনুর নেছা")</f>
        <v>মোছাঃ কহিনুর নেছা</v>
      </c>
      <c r="F23" s="2" t="str">
        <f>IFERROR(__xludf.DUMMYFUNCTION("""COMPUTED_VALUE"""),"কৃষক")</f>
        <v>কৃষক</v>
      </c>
      <c r="G23" s="2" t="str">
        <f>IFERROR(__xludf.DUMMYFUNCTION("""COMPUTED_VALUE"""),"০৫/০৮/১৯৬৬")</f>
        <v>০৫/০৮/১৯৬৬</v>
      </c>
      <c r="H23" s="2" t="str">
        <f>IFERROR(__xludf.DUMMYFUNCTION("""COMPUTED_VALUE"""),"""জালশুকা")</f>
        <v>"জালশুকা</v>
      </c>
      <c r="I23" s="2" t="str">
        <f>IFERROR(__xludf.DUMMYFUNCTION("""COMPUTED_VALUE""")," গাংনী")</f>
        <v> গাংনী</v>
      </c>
      <c r="J23" s="2" t="str">
        <f>IFERROR(__xludf.DUMMYFUNCTION("""COMPUTED_VALUE""")," মেহেরপুর""")</f>
        <v> মেহেরপুর"</v>
      </c>
    </row>
    <row r="24" ht="15.75" customHeight="1">
      <c r="A24" s="1" t="str">
        <f>IFERROR(__xludf.DUMMYFUNCTION("SPLIT(raw!A24, "","")"),163.0)</f>
        <v>163</v>
      </c>
      <c r="B24" s="2" t="str">
        <f>IFERROR(__xludf.DUMMYFUNCTION("""COMPUTED_VALUE"""),"মোঃ বকুল হোসেন")</f>
        <v>মোঃ বকুল হোসেন</v>
      </c>
      <c r="C24" s="2" t="str">
        <f>IFERROR(__xludf.DUMMYFUNCTION("""COMPUTED_VALUE"""),5.70056378107E11)</f>
        <v>570056378107</v>
      </c>
      <c r="D24" s="2" t="str">
        <f>IFERROR(__xludf.DUMMYFUNCTION("""COMPUTED_VALUE"""),"মোঃ মঞ্জুর আলী")</f>
        <v>মোঃ মঞ্জুর আলী</v>
      </c>
      <c r="E24" s="2" t="str">
        <f>IFERROR(__xludf.DUMMYFUNCTION("""COMPUTED_VALUE"""),"মোছাঃ কহিনুর নেছা")</f>
        <v>মোছাঃ কহিনুর নেছা</v>
      </c>
      <c r="F24" s="2" t="str">
        <f>IFERROR(__xludf.DUMMYFUNCTION("""COMPUTED_VALUE"""),"কৃষক")</f>
        <v>কৃষক</v>
      </c>
      <c r="G24" s="2" t="str">
        <f>IFERROR(__xludf.DUMMYFUNCTION("""COMPUTED_VALUE"""),"৩১/১২/১৯৮০")</f>
        <v>৩১/১২/১৯৮০</v>
      </c>
      <c r="H24" s="2" t="str">
        <f>IFERROR(__xludf.DUMMYFUNCTION("""COMPUTED_VALUE"""),"""জালশুকা")</f>
        <v>"জালশুকা</v>
      </c>
      <c r="I24" s="2" t="str">
        <f>IFERROR(__xludf.DUMMYFUNCTION("""COMPUTED_VALUE""")," গাংনী")</f>
        <v> গাংনী</v>
      </c>
      <c r="J24" s="2" t="str">
        <f>IFERROR(__xludf.DUMMYFUNCTION("""COMPUTED_VALUE""")," মেহেরপুর""")</f>
        <v> মেহেরপুর"</v>
      </c>
    </row>
    <row r="25" ht="15.75" customHeight="1">
      <c r="A25" s="1" t="str">
        <f>IFERROR(__xludf.DUMMYFUNCTION("SPLIT(raw!A25, "","")"),164.0)</f>
        <v>164</v>
      </c>
      <c r="B25" s="2" t="str">
        <f>IFERROR(__xludf.DUMMYFUNCTION("""COMPUTED_VALUE"""),"মোঃ আশাদুল হক")</f>
        <v>মোঃ আশাদুল হক</v>
      </c>
      <c r="C25" s="2" t="str">
        <f>IFERROR(__xludf.DUMMYFUNCTION("""COMPUTED_VALUE"""),5.7005637811E11)</f>
        <v>570056378110</v>
      </c>
      <c r="D25" s="2" t="str">
        <f>IFERROR(__xludf.DUMMYFUNCTION("""COMPUTED_VALUE"""),"ওয়াজ বক্স")</f>
        <v>ওয়াজ বক্স</v>
      </c>
      <c r="E25" s="2" t="str">
        <f>IFERROR(__xludf.DUMMYFUNCTION("""COMPUTED_VALUE"""),"মোছাঃ ইজারন নেছা")</f>
        <v>মোছাঃ ইজারন নেছা</v>
      </c>
      <c r="F25" s="2" t="str">
        <f>IFERROR(__xludf.DUMMYFUNCTION("""COMPUTED_VALUE"""),"কৃষক")</f>
        <v>কৃষক</v>
      </c>
      <c r="G25" s="2" t="str">
        <f>IFERROR(__xludf.DUMMYFUNCTION("""COMPUTED_VALUE"""),"২৫/০২/১৯৭৪")</f>
        <v>২৫/০২/১৯৭৪</v>
      </c>
      <c r="H25" s="2" t="str">
        <f>IFERROR(__xludf.DUMMYFUNCTION("""COMPUTED_VALUE"""),"""জালশুকা")</f>
        <v>"জালশুকা</v>
      </c>
      <c r="I25" s="2" t="str">
        <f>IFERROR(__xludf.DUMMYFUNCTION("""COMPUTED_VALUE""")," গাংনী")</f>
        <v> গাংনী</v>
      </c>
      <c r="J25" s="2" t="str">
        <f>IFERROR(__xludf.DUMMYFUNCTION("""COMPUTED_VALUE""")," মেহেরপুর""")</f>
        <v> মেহেরপুর"</v>
      </c>
    </row>
    <row r="26" ht="15.75" customHeight="1">
      <c r="A26" s="1" t="str">
        <f>IFERROR(__xludf.DUMMYFUNCTION("SPLIT(raw!A26, "","")"),165.0)</f>
        <v>165</v>
      </c>
      <c r="B26" s="2" t="str">
        <f>IFERROR(__xludf.DUMMYFUNCTION("""COMPUTED_VALUE"""),"মোঃ নাসীর উদ্দীন")</f>
        <v>মোঃ নাসীর উদ্দীন</v>
      </c>
      <c r="C26" s="2" t="str">
        <f>IFERROR(__xludf.DUMMYFUNCTION("""COMPUTED_VALUE"""),5.70056378112E11)</f>
        <v>570056378112</v>
      </c>
      <c r="D26" s="2" t="str">
        <f>IFERROR(__xludf.DUMMYFUNCTION("""COMPUTED_VALUE"""),"ওয়াজ বক্স মালিথা")</f>
        <v>ওয়াজ বক্স মালিথা</v>
      </c>
      <c r="E26" s="2" t="str">
        <f>IFERROR(__xludf.DUMMYFUNCTION("""COMPUTED_VALUE"""),"মোছাঃ ইজারন নেছা")</f>
        <v>মোছাঃ ইজারন নেছা</v>
      </c>
      <c r="F26" s="2" t="str">
        <f>IFERROR(__xludf.DUMMYFUNCTION("""COMPUTED_VALUE"""),"কৃষক")</f>
        <v>কৃষক</v>
      </c>
      <c r="G26" s="2" t="str">
        <f>IFERROR(__xludf.DUMMYFUNCTION("""COMPUTED_VALUE"""),"০২/০২/১৯৭২")</f>
        <v>০২/০২/১৯৭২</v>
      </c>
      <c r="H26" s="2" t="str">
        <f>IFERROR(__xludf.DUMMYFUNCTION("""COMPUTED_VALUE"""),"""জালশুকা")</f>
        <v>"জালশুকা</v>
      </c>
      <c r="I26" s="2" t="str">
        <f>IFERROR(__xludf.DUMMYFUNCTION("""COMPUTED_VALUE""")," গাংনী")</f>
        <v> গাংনী</v>
      </c>
      <c r="J26" s="2" t="str">
        <f>IFERROR(__xludf.DUMMYFUNCTION("""COMPUTED_VALUE""")," মেহেরপুর""")</f>
        <v> মেহেরপুর"</v>
      </c>
    </row>
    <row r="27" ht="15.75" customHeight="1">
      <c r="A27" s="1" t="str">
        <f>IFERROR(__xludf.DUMMYFUNCTION("SPLIT(raw!A27, "","")"),"[নাই]")</f>
        <v>[নাই]</v>
      </c>
      <c r="B27" s="2" t="str">
        <f>IFERROR(__xludf.DUMMYFUNCTION("""COMPUTED_VALUE"""),"রবিউল হক")</f>
        <v>রবিউল হক</v>
      </c>
      <c r="C27" s="2" t="str">
        <f>IFERROR(__xludf.DUMMYFUNCTION("""COMPUTED_VALUE"""),5.70056378117E11)</f>
        <v>570056378117</v>
      </c>
      <c r="D27" s="2" t="str">
        <f>IFERROR(__xludf.DUMMYFUNCTION("""COMPUTED_VALUE"""),"ওয়াজ বক্স মালিথা")</f>
        <v>ওয়াজ বক্স মালিথা</v>
      </c>
      <c r="E27" s="2" t="str">
        <f>IFERROR(__xludf.DUMMYFUNCTION("""COMPUTED_VALUE"""),"মোছাঃ ইজারন নেছা")</f>
        <v>মোছাঃ ইজারন নেছা</v>
      </c>
      <c r="F27" s="2" t="str">
        <f>IFERROR(__xludf.DUMMYFUNCTION("""COMPUTED_VALUE"""),"কৃষক")</f>
        <v>কৃষক</v>
      </c>
      <c r="G27" s="2" t="str">
        <f>IFERROR(__xludf.DUMMYFUNCTION("""COMPUTED_VALUE"""),"১৭/০৪/১৯??")</f>
        <v>১৭/০৪/১৯??</v>
      </c>
      <c r="H27" s="2" t="str">
        <f>IFERROR(__xludf.DUMMYFUNCTION("""COMPUTED_VALUE"""),"""জালশুকা")</f>
        <v>"জালশুকা</v>
      </c>
      <c r="I27" s="2" t="str">
        <f>IFERROR(__xludf.DUMMYFUNCTION("""COMPUTED_VALUE""")," গাংনী")</f>
        <v> গাংনী</v>
      </c>
      <c r="J27" s="2" t="str">
        <f>IFERROR(__xludf.DUMMYFUNCTION("""COMPUTED_VALUE""")," মেহেরপুর""")</f>
        <v> মেহেরপুর"</v>
      </c>
    </row>
    <row r="28" ht="15.75" customHeight="1">
      <c r="A28" s="1" t="str">
        <f>IFERROR(__xludf.DUMMYFUNCTION("SPLIT(raw!A28, "","")"),166.0)</f>
        <v>166</v>
      </c>
      <c r="B28" s="2" t="str">
        <f>IFERROR(__xludf.DUMMYFUNCTION("""COMPUTED_VALUE"""),"মোঃ সাইফুল ইসলাম")</f>
        <v>মোঃ সাইফুল ইসলাম</v>
      </c>
      <c r="C28" s="2" t="str">
        <f>IFERROR(__xludf.DUMMYFUNCTION("""COMPUTED_VALUE"""),5.70056378114E11)</f>
        <v>570056378114</v>
      </c>
      <c r="D28" s="2" t="str">
        <f>IFERROR(__xludf.DUMMYFUNCTION("""COMPUTED_VALUE"""),"মোঃ দবির উদ্দীন")</f>
        <v>মোঃ দবির উদ্দীন</v>
      </c>
      <c r="E28" s="2" t="str">
        <f>IFERROR(__xludf.DUMMYFUNCTION("""COMPUTED_VALUE"""),"মোছাঃ রিজিয়া খাতুন")</f>
        <v>মোছাঃ রিজিয়া খাতুন</v>
      </c>
      <c r="F28" s="2" t="str">
        <f>IFERROR(__xludf.DUMMYFUNCTION("""COMPUTED_VALUE"""),"ছাত্র/ছাত্রী")</f>
        <v>ছাত্র/ছাত্রী</v>
      </c>
      <c r="G28" s="2" t="str">
        <f>IFERROR(__xludf.DUMMYFUNCTION("""COMPUTED_VALUE"""),"৩১/১২/১৯৮৩")</f>
        <v>৩১/১২/১৯৮৩</v>
      </c>
      <c r="H28" s="2" t="str">
        <f>IFERROR(__xludf.DUMMYFUNCTION("""COMPUTED_VALUE"""),"""জালশুকা")</f>
        <v>"জালশুকা</v>
      </c>
      <c r="I28" s="2" t="str">
        <f>IFERROR(__xludf.DUMMYFUNCTION("""COMPUTED_VALUE""")," গাংনী")</f>
        <v> গাংনী</v>
      </c>
      <c r="J28" s="2" t="str">
        <f>IFERROR(__xludf.DUMMYFUNCTION("""COMPUTED_VALUE""")," মেহেরপুর""")</f>
        <v> মেহেরপুর"</v>
      </c>
    </row>
    <row r="29" ht="15.75" customHeight="1">
      <c r="A29" s="1" t="str">
        <f>IFERROR(__xludf.DUMMYFUNCTION("SPLIT(raw!A29, "","")"),167.0)</f>
        <v>167</v>
      </c>
      <c r="B29" s="2" t="str">
        <f>IFERROR(__xludf.DUMMYFUNCTION("""COMPUTED_VALUE"""),"মোঃ আলামিন মালিথা")</f>
        <v>মোঃ আলামিন মালিথা</v>
      </c>
      <c r="C29" s="2" t="str">
        <f>IFERROR(__xludf.DUMMYFUNCTION("""COMPUTED_VALUE"""),5.70056378115E11)</f>
        <v>570056378115</v>
      </c>
      <c r="D29" s="2" t="str">
        <f>IFERROR(__xludf.DUMMYFUNCTION("""COMPUTED_VALUE"""),"মোঃ দবির উদ্দীন")</f>
        <v>মোঃ দবির উদ্দীন</v>
      </c>
      <c r="E29" s="2" t="str">
        <f>IFERROR(__xludf.DUMMYFUNCTION("""COMPUTED_VALUE"""),"মোছাঃ রিজিয়া খাতুন")</f>
        <v>মোছাঃ রিজিয়া খাতুন</v>
      </c>
      <c r="F29" s="2" t="str">
        <f>IFERROR(__xludf.DUMMYFUNCTION("""COMPUTED_VALUE"""),"কৃষক")</f>
        <v>কৃষক</v>
      </c>
      <c r="G29" s="2" t="str">
        <f>IFERROR(__xludf.DUMMYFUNCTION("""COMPUTED_VALUE"""),"১১/০১/১৯৮৭")</f>
        <v>১১/০১/১৯৮৭</v>
      </c>
      <c r="H29" s="2" t="str">
        <f>IFERROR(__xludf.DUMMYFUNCTION("""COMPUTED_VALUE"""),"""জালশুকা")</f>
        <v>"জালশুকা</v>
      </c>
      <c r="I29" s="2" t="str">
        <f>IFERROR(__xludf.DUMMYFUNCTION("""COMPUTED_VALUE""")," গাংনী")</f>
        <v> গাংনী</v>
      </c>
      <c r="J29" s="2" t="str">
        <f>IFERROR(__xludf.DUMMYFUNCTION("""COMPUTED_VALUE""")," মেহেরপুর""")</f>
        <v> মেহেরপুর"</v>
      </c>
    </row>
    <row r="30" ht="15.75" customHeight="1">
      <c r="A30" s="1" t="str">
        <f>IFERROR(__xludf.DUMMYFUNCTION("SPLIT(raw!A30, "","")"),171.0)</f>
        <v>171</v>
      </c>
      <c r="B30" s="2" t="str">
        <f>IFERROR(__xludf.DUMMYFUNCTION("""COMPUTED_VALUE"""),"মোঃ রতন আলী")</f>
        <v>মোঃ রতন আলী</v>
      </c>
      <c r="C30" s="2" t="str">
        <f>IFERROR(__xludf.DUMMYFUNCTION("""COMPUTED_VALUE"""),5.70056378128E11)</f>
        <v>570056378128</v>
      </c>
      <c r="D30" s="2" t="str">
        <f>IFERROR(__xludf.DUMMYFUNCTION("""COMPUTED_VALUE"""),"মোঃ বুদু আলী")</f>
        <v>মোঃ বুদু আলী</v>
      </c>
      <c r="E30" s="2" t="str">
        <f>IFERROR(__xludf.DUMMYFUNCTION("""COMPUTED_VALUE"""),"মোছাঃ সবুরন নেছা")</f>
        <v>মোছাঃ সবুরন নেছা</v>
      </c>
      <c r="F30" s="2" t="str">
        <f>IFERROR(__xludf.DUMMYFUNCTION("""COMPUTED_VALUE"""),"কৃষক")</f>
        <v>কৃষক</v>
      </c>
      <c r="G30" s="2" t="str">
        <f>IFERROR(__xludf.DUMMYFUNCTION("""COMPUTED_VALUE"""),"০৫/০৩/১৯৮৩")</f>
        <v>০৫/০৩/১৯৮৩</v>
      </c>
      <c r="H30" s="2" t="str">
        <f>IFERROR(__xludf.DUMMYFUNCTION("""COMPUTED_VALUE"""),"""জালশুকা")</f>
        <v>"জালশুকা</v>
      </c>
      <c r="I30" s="2" t="str">
        <f>IFERROR(__xludf.DUMMYFUNCTION("""COMPUTED_VALUE""")," গাংনী")</f>
        <v> গাংনী</v>
      </c>
      <c r="J30" s="2" t="str">
        <f>IFERROR(__xludf.DUMMYFUNCTION("""COMPUTED_VALUE""")," মেহেরপুর""")</f>
        <v> মেহেরপুর"</v>
      </c>
    </row>
    <row r="31" ht="15.75" customHeight="1">
      <c r="A31" s="1" t="str">
        <f>IFERROR(__xludf.DUMMYFUNCTION("SPLIT(raw!A31, "","")"),169.0)</f>
        <v>169</v>
      </c>
      <c r="B31" s="2" t="str">
        <f>IFERROR(__xludf.DUMMYFUNCTION("""COMPUTED_VALUE"""),"মোঃ তোফাজ্জেল হোসেন")</f>
        <v>মোঃ তোফাজ্জেল হোসেন</v>
      </c>
      <c r="C31" s="2" t="str">
        <f>IFERROR(__xludf.DUMMYFUNCTION("""COMPUTED_VALUE"""),5.70056378119E11)</f>
        <v>570056378119</v>
      </c>
      <c r="D31" s="2" t="str">
        <f>IFERROR(__xludf.DUMMYFUNCTION("""COMPUTED_VALUE"""),"উম্বাদ আলী")</f>
        <v>উম্বাদ আলী</v>
      </c>
      <c r="E31" s="2" t="str">
        <f>IFERROR(__xludf.DUMMYFUNCTION("""COMPUTED_VALUE"""),"মোছাঃ রবিয়া খাতুন")</f>
        <v>মোছাঃ রবিয়া খাতুন</v>
      </c>
      <c r="F31" s="2" t="str">
        <f>IFERROR(__xludf.DUMMYFUNCTION("""COMPUTED_VALUE"""),"ব্যবসা")</f>
        <v>ব্যবসা</v>
      </c>
      <c r="G31" s="2" t="str">
        <f>IFERROR(__xludf.DUMMYFUNCTION("""COMPUTED_VALUE"""),"০৫/০৬/১৯৬১")</f>
        <v>০৫/০৬/১৯৬১</v>
      </c>
      <c r="H31" s="2" t="str">
        <f>IFERROR(__xludf.DUMMYFUNCTION("""COMPUTED_VALUE"""),"""জালশুকা")</f>
        <v>"জালশুকা</v>
      </c>
      <c r="I31" s="2" t="str">
        <f>IFERROR(__xludf.DUMMYFUNCTION("""COMPUTED_VALUE""")," গাংনী")</f>
        <v> গাংনী</v>
      </c>
      <c r="J31" s="2" t="str">
        <f>IFERROR(__xludf.DUMMYFUNCTION("""COMPUTED_VALUE""")," মেহেরপুর""")</f>
        <v> মেহেরপুর"</v>
      </c>
    </row>
    <row r="32" ht="15.75" customHeight="1">
      <c r="A32" s="1" t="str">
        <f>IFERROR(__xludf.DUMMYFUNCTION("SPLIT(raw!A32, "","")"),170.0)</f>
        <v>170</v>
      </c>
      <c r="B32" s="2" t="str">
        <f>IFERROR(__xludf.DUMMYFUNCTION("""COMPUTED_VALUE"""),"মোঃ আলেকচাঁদ")</f>
        <v>মোঃ আলেকচাঁদ</v>
      </c>
      <c r="C32" s="2" t="str">
        <f>IFERROR(__xludf.DUMMYFUNCTION("""COMPUTED_VALUE"""),"[অস্পষ্ট]")</f>
        <v>[অস্পষ্ট]</v>
      </c>
      <c r="D32" s="2" t="str">
        <f>IFERROR(__xludf.DUMMYFUNCTION("""COMPUTED_VALUE"""),"মোঃ [অস্পষ্ট]")</f>
        <v>মোঃ [অস্পষ্ট]</v>
      </c>
      <c r="E32" s="2" t="str">
        <f>IFERROR(__xludf.DUMMYFUNCTION("""COMPUTED_VALUE"""),"[অস্পষ্ট]")</f>
        <v>[অস্পষ্ট]</v>
      </c>
      <c r="F32" s="2" t="str">
        <f>IFERROR(__xludf.DUMMYFUNCTION("""COMPUTED_VALUE"""),"[অস্পষ্ট]")</f>
        <v>[অস্পষ্ট]</v>
      </c>
      <c r="G32" s="2" t="str">
        <f>IFERROR(__xludf.DUMMYFUNCTION("""COMPUTED_VALUE"""),"[অস্পষ্ট]")</f>
        <v>[অস্পষ্ট]</v>
      </c>
      <c r="H32" s="2" t="str">
        <f>IFERROR(__xludf.DUMMYFUNCTION("""COMPUTED_VALUE"""),"""জালশুকা")</f>
        <v>"জালশুকা</v>
      </c>
      <c r="I32" s="2" t="str">
        <f>IFERROR(__xludf.DUMMYFUNCTION("""COMPUTED_VALUE""")," গাংনী")</f>
        <v> গাংনী</v>
      </c>
      <c r="J32" s="2" t="str">
        <f>IFERROR(__xludf.DUMMYFUNCTION("""COMPUTED_VALUE""")," মেহেরপুর""")</f>
        <v> মেহেরপুর"</v>
      </c>
    </row>
    <row r="33" ht="15.75" customHeight="1">
      <c r="A33" s="1" t="str">
        <f>IFERROR(__xludf.DUMMYFUNCTION("SPLIT(raw!A33, "","")"),172.0)</f>
        <v>172</v>
      </c>
      <c r="B33" s="2" t="str">
        <f>IFERROR(__xludf.DUMMYFUNCTION("""COMPUTED_VALUE"""),"মোঃ মশিউর রহমান")</f>
        <v>মোঃ মশিউর রহমান</v>
      </c>
      <c r="C33" s="2" t="str">
        <f>IFERROR(__xludf.DUMMYFUNCTION("""COMPUTED_VALUE"""),5.70056378131E11)</f>
        <v>570056378131</v>
      </c>
      <c r="D33" s="2" t="str">
        <f>IFERROR(__xludf.DUMMYFUNCTION("""COMPUTED_VALUE"""),"মোঃ আহার উদ্দীন মন্ডল")</f>
        <v>মোঃ আহার উদ্দীন মন্ডল</v>
      </c>
      <c r="E33" s="2" t="str">
        <f>IFERROR(__xludf.DUMMYFUNCTION("""COMPUTED_VALUE"""),"মোছাঃ জাহানারা খাতুন")</f>
        <v>মোছাঃ জাহানারা খাতুন</v>
      </c>
      <c r="F33" s="2" t="str">
        <f>IFERROR(__xludf.DUMMYFUNCTION("""COMPUTED_VALUE"""),"কৃষক")</f>
        <v>কৃষক</v>
      </c>
      <c r="G33" s="2" t="str">
        <f>IFERROR(__xludf.DUMMYFUNCTION("""COMPUTED_VALUE"""),"০১/০১/১৯৮৩")</f>
        <v>০১/০১/১৯৮৩</v>
      </c>
      <c r="H33" s="2" t="str">
        <f>IFERROR(__xludf.DUMMYFUNCTION("""COMPUTED_VALUE"""),"""জালশুকা")</f>
        <v>"জালশুকা</v>
      </c>
      <c r="I33" s="2" t="str">
        <f>IFERROR(__xludf.DUMMYFUNCTION("""COMPUTED_VALUE""")," গাংনী")</f>
        <v> গাংনী</v>
      </c>
      <c r="J33" s="2" t="str">
        <f>IFERROR(__xludf.DUMMYFUNCTION("""COMPUTED_VALUE""")," মেহেরপুর""")</f>
        <v> মেহেরপুর"</v>
      </c>
    </row>
    <row r="34" ht="15.75" customHeight="1">
      <c r="A34" s="1" t="str">
        <f>IFERROR(__xludf.DUMMYFUNCTION("SPLIT(raw!A34, "","")"),173.0)</f>
        <v>173</v>
      </c>
      <c r="B34" s="2" t="str">
        <f>IFERROR(__xludf.DUMMYFUNCTION("""COMPUTED_VALUE"""),"মোঃ হাসিবুল")</f>
        <v>মোঃ হাসিবুল</v>
      </c>
      <c r="C34" s="2" t="str">
        <f>IFERROR(__xludf.DUMMYFUNCTION("""COMPUTED_VALUE"""),5.70056378133E11)</f>
        <v>570056378133</v>
      </c>
      <c r="D34" s="2" t="str">
        <f>IFERROR(__xludf.DUMMYFUNCTION("""COMPUTED_VALUE"""),"মোছারদ্দীন মন্ডল")</f>
        <v>মোছারদ্দীন মন্ডল</v>
      </c>
      <c r="E34" s="2" t="str">
        <f>IFERROR(__xludf.DUMMYFUNCTION("""COMPUTED_VALUE"""),"খবেজা খাতুন")</f>
        <v>খবেজা খাতুন</v>
      </c>
      <c r="F34" s="2" t="str">
        <f>IFERROR(__xludf.DUMMYFUNCTION("""COMPUTED_VALUE"""),"[অস্পষ্ট]")</f>
        <v>[অস্পষ্ট]</v>
      </c>
      <c r="G34" s="2" t="str">
        <f>IFERROR(__xludf.DUMMYFUNCTION("""COMPUTED_VALUE"""),"২৫/১০/১৯৮২")</f>
        <v>২৫/১০/১৯৮২</v>
      </c>
      <c r="H34" s="2" t="str">
        <f>IFERROR(__xludf.DUMMYFUNCTION("""COMPUTED_VALUE"""),"""জালশুকা")</f>
        <v>"জালশুকা</v>
      </c>
      <c r="I34" s="2" t="str">
        <f>IFERROR(__xludf.DUMMYFUNCTION("""COMPUTED_VALUE""")," গাংনী")</f>
        <v> গাংনী</v>
      </c>
      <c r="J34" s="2" t="str">
        <f>IFERROR(__xludf.DUMMYFUNCTION("""COMPUTED_VALUE""")," মেহেরপুর""")</f>
        <v> মেহেরপুর"</v>
      </c>
    </row>
    <row r="35" ht="15.75" customHeight="1">
      <c r="A35" s="1" t="str">
        <f>IFERROR(__xludf.DUMMYFUNCTION("SPLIT(raw!A35, "","")"),174.0)</f>
        <v>174</v>
      </c>
      <c r="B35" s="2" t="str">
        <f>IFERROR(__xludf.DUMMYFUNCTION("""COMPUTED_VALUE"""),"মোঃ রবিউল ইসলাম")</f>
        <v>মোঃ রবিউল ইসলাম</v>
      </c>
      <c r="C35" s="2" t="str">
        <f>IFERROR(__xludf.DUMMYFUNCTION("""COMPUTED_VALUE"""),5.70056378136E11)</f>
        <v>570056378136</v>
      </c>
      <c r="D35" s="2" t="str">
        <f>IFERROR(__xludf.DUMMYFUNCTION("""COMPUTED_VALUE"""),"মোঃ মোছার উদ্দীন মন্ডল")</f>
        <v>মোঃ মোছার উদ্দীন মন্ডল</v>
      </c>
      <c r="E35" s="2" t="str">
        <f>IFERROR(__xludf.DUMMYFUNCTION("""COMPUTED_VALUE"""),"মোছাঃ খবেজা খাতুন")</f>
        <v>মোছাঃ খবেজা খাতুন</v>
      </c>
      <c r="F35" s="2" t="str">
        <f>IFERROR(__xludf.DUMMYFUNCTION("""COMPUTED_VALUE"""),"কৃষক")</f>
        <v>কৃষক</v>
      </c>
      <c r="G35" s="2" t="str">
        <f>IFERROR(__xludf.DUMMYFUNCTION("""COMPUTED_VALUE"""),"০৯/০৯/১৯৭১")</f>
        <v>০৯/০৯/১৯৭১</v>
      </c>
      <c r="H35" s="2" t="str">
        <f>IFERROR(__xludf.DUMMYFUNCTION("""COMPUTED_VALUE"""),"""জালশুকা")</f>
        <v>"জালশুকা</v>
      </c>
      <c r="I35" s="2" t="str">
        <f>IFERROR(__xludf.DUMMYFUNCTION("""COMPUTED_VALUE""")," গাংনী")</f>
        <v> গাংনী</v>
      </c>
      <c r="J35" s="2" t="str">
        <f>IFERROR(__xludf.DUMMYFUNCTION("""COMPUTED_VALUE""")," মেহেরপুর""")</f>
        <v> মেহেরপুর"</v>
      </c>
    </row>
    <row r="36" ht="15.75" customHeight="1">
      <c r="A36" s="1" t="str">
        <f>IFERROR(__xludf.DUMMYFUNCTION("SPLIT(raw!A36, "","")"),175.0)</f>
        <v>175</v>
      </c>
      <c r="B36" s="2" t="str">
        <f>IFERROR(__xludf.DUMMYFUNCTION("""COMPUTED_VALUE"""),"মোঃ নুর ইসলাম")</f>
        <v>মোঃ নুর ইসলাম</v>
      </c>
      <c r="C36" s="2" t="str">
        <f>IFERROR(__xludf.DUMMYFUNCTION("""COMPUTED_VALUE"""),5.7005637814E11)</f>
        <v>570056378140</v>
      </c>
      <c r="D36" s="2" t="str">
        <f>IFERROR(__xludf.DUMMYFUNCTION("""COMPUTED_VALUE"""),"নেপাল মন্ডল")</f>
        <v>নেপাল মন্ডল</v>
      </c>
      <c r="E36" s="2" t="str">
        <f>IFERROR(__xludf.DUMMYFUNCTION("""COMPUTED_VALUE"""),"জবেদা খাতুন")</f>
        <v>জবেদা খাতুন</v>
      </c>
      <c r="F36" s="2" t="str">
        <f>IFERROR(__xludf.DUMMYFUNCTION("""COMPUTED_VALUE"""),"কৃষক")</f>
        <v>কৃষক</v>
      </c>
      <c r="G36" s="2" t="str">
        <f>IFERROR(__xludf.DUMMYFUNCTION("""COMPUTED_VALUE"""),"০১/০১/১৯৫৬")</f>
        <v>০১/০১/১৯৫৬</v>
      </c>
      <c r="H36" s="2" t="str">
        <f>IFERROR(__xludf.DUMMYFUNCTION("""COMPUTED_VALUE"""),"""জালশুকা")</f>
        <v>"জালশুকা</v>
      </c>
      <c r="I36" s="2" t="str">
        <f>IFERROR(__xludf.DUMMYFUNCTION("""COMPUTED_VALUE""")," গাংনী")</f>
        <v> গাংনী</v>
      </c>
      <c r="J36" s="2" t="str">
        <f>IFERROR(__xludf.DUMMYFUNCTION("""COMPUTED_VALUE""")," মেহেরপুর""")</f>
        <v> মেহেরপুর"</v>
      </c>
    </row>
    <row r="37" ht="15.75" customHeight="1">
      <c r="A37" s="1" t="str">
        <f>IFERROR(__xludf.DUMMYFUNCTION("SPLIT(raw!A37, "","")"),176.0)</f>
        <v>176</v>
      </c>
      <c r="B37" s="2" t="str">
        <f>IFERROR(__xludf.DUMMYFUNCTION("""COMPUTED_VALUE"""),"মোঃ বিল্লাল হোসেন")</f>
        <v>মোঃ বিল্লাল হোসেন</v>
      </c>
      <c r="C37" s="2" t="str">
        <f>IFERROR(__xludf.DUMMYFUNCTION("""COMPUTED_VALUE"""),5.70056378143E11)</f>
        <v>570056378143</v>
      </c>
      <c r="D37" s="2" t="str">
        <f>IFERROR(__xludf.DUMMYFUNCTION("""COMPUTED_VALUE"""),"মোঃ আসান আলী")</f>
        <v>মোঃ আসান আলী</v>
      </c>
      <c r="E37" s="2" t="str">
        <f>IFERROR(__xludf.DUMMYFUNCTION("""COMPUTED_VALUE"""),"মোছাঃ অজিফা খাতুন")</f>
        <v>মোছাঃ অজিফা খাতুন</v>
      </c>
      <c r="F37" s="2" t="str">
        <f>IFERROR(__xludf.DUMMYFUNCTION("""COMPUTED_VALUE"""),"কৃষক")</f>
        <v>কৃষক</v>
      </c>
      <c r="G37" s="2" t="str">
        <f>IFERROR(__xludf.DUMMYFUNCTION("""COMPUTED_VALUE"""),"০৫/০৩/১৯৮৪")</f>
        <v>০৫/০৩/১৯৮৪</v>
      </c>
      <c r="H37" s="2" t="str">
        <f>IFERROR(__xludf.DUMMYFUNCTION("""COMPUTED_VALUE"""),"""জালশুকা")</f>
        <v>"জালশুকা</v>
      </c>
      <c r="I37" s="2" t="str">
        <f>IFERROR(__xludf.DUMMYFUNCTION("""COMPUTED_VALUE""")," গাংনী")</f>
        <v> গাংনী</v>
      </c>
      <c r="J37" s="2" t="str">
        <f>IFERROR(__xludf.DUMMYFUNCTION("""COMPUTED_VALUE""")," মেহেরপুর""")</f>
        <v> মেহেরপুর"</v>
      </c>
    </row>
    <row r="38" ht="15.75" customHeight="1">
      <c r="A38" s="1" t="str">
        <f>IFERROR(__xludf.DUMMYFUNCTION("SPLIT(raw!A38, "","")"),177.0)</f>
        <v>177</v>
      </c>
      <c r="B38" s="2" t="str">
        <f>IFERROR(__xludf.DUMMYFUNCTION("""COMPUTED_VALUE"""),"মোঃ শহিদুল ইসলাম")</f>
        <v>মোঃ শহিদুল ইসলাম</v>
      </c>
      <c r="C38" s="2" t="str">
        <f>IFERROR(__xludf.DUMMYFUNCTION("""COMPUTED_VALUE"""),5.70056378146E11)</f>
        <v>570056378146</v>
      </c>
      <c r="D38" s="2" t="str">
        <f>IFERROR(__xludf.DUMMYFUNCTION("""COMPUTED_VALUE"""),"মোঃ রমজান আলী")</f>
        <v>মোঃ রমজান আলী</v>
      </c>
      <c r="E38" s="2" t="str">
        <f>IFERROR(__xludf.DUMMYFUNCTION("""COMPUTED_VALUE"""),"মোছাঃ সুফিয়া খাতুন")</f>
        <v>মোছাঃ সুফিয়া খাতুন</v>
      </c>
      <c r="F38" s="2" t="str">
        <f>IFERROR(__xludf.DUMMYFUNCTION("""COMPUTED_VALUE"""),"কৃষক")</f>
        <v>কৃষক</v>
      </c>
      <c r="G38" s="2" t="str">
        <f>IFERROR(__xludf.DUMMYFUNCTION("""COMPUTED_VALUE"""),"০২/০৩/১৯৭৩")</f>
        <v>০২/০৩/১৯৭৩</v>
      </c>
      <c r="H38" s="2" t="str">
        <f>IFERROR(__xludf.DUMMYFUNCTION("""COMPUTED_VALUE"""),"""জালশুকা")</f>
        <v>"জালশুকা</v>
      </c>
      <c r="I38" s="2" t="str">
        <f>IFERROR(__xludf.DUMMYFUNCTION("""COMPUTED_VALUE""")," গাংনী")</f>
        <v> গাংনী</v>
      </c>
      <c r="J38" s="2" t="str">
        <f>IFERROR(__xludf.DUMMYFUNCTION("""COMPUTED_VALUE""")," মেহেরপুর""")</f>
        <v> মেহেরপুর"</v>
      </c>
    </row>
    <row r="39" ht="15.75" customHeight="1">
      <c r="A39" s="1" t="str">
        <f>IFERROR(__xludf.DUMMYFUNCTION("SPLIT(raw!A39, "","")"),556.0)</f>
        <v>556</v>
      </c>
      <c r="B39" s="2" t="str">
        <f>IFERROR(__xludf.DUMMYFUNCTION("""COMPUTED_VALUE"""),"মোঃ লিটন রানা")</f>
        <v>মোঃ লিটন রানা</v>
      </c>
      <c r="C39" s="2" t="str">
        <f>IFERROR(__xludf.DUMMYFUNCTION("""COMPUTED_VALUE"""),5.70056000093E11)</f>
        <v>570056000093</v>
      </c>
      <c r="D39" s="2" t="str">
        <f>IFERROR(__xludf.DUMMYFUNCTION("""COMPUTED_VALUE"""),"মনিরুল ইসলাম")</f>
        <v>মনিরুল ইসলাম</v>
      </c>
      <c r="E39" s="2" t="str">
        <f>IFERROR(__xludf.DUMMYFUNCTION("""COMPUTED_VALUE"""),"হাজেরা খাতুন")</f>
        <v>হাজেরা খাতুন</v>
      </c>
      <c r="F39" s="2" t="str">
        <f>IFERROR(__xludf.DUMMYFUNCTION("""COMPUTED_VALUE"""),"কৃষক")</f>
        <v>কৃষক</v>
      </c>
      <c r="G39" s="2" t="str">
        <f>IFERROR(__xludf.DUMMYFUNCTION("""COMPUTED_VALUE"""),"০২/০৬/১৯৯১")</f>
        <v>০২/০৬/১৯৯১</v>
      </c>
      <c r="H39" s="2" t="str">
        <f>IFERROR(__xludf.DUMMYFUNCTION("""COMPUTED_VALUE"""),"""জালশুকা")</f>
        <v>"জালশুকা</v>
      </c>
      <c r="I39" s="2" t="str">
        <f>IFERROR(__xludf.DUMMYFUNCTION("""COMPUTED_VALUE""")," গাংনী")</f>
        <v> গাংনী</v>
      </c>
      <c r="J39" s="2" t="str">
        <f>IFERROR(__xludf.DUMMYFUNCTION("""COMPUTED_VALUE""")," মেহেরপুর""")</f>
        <v> মেহেরপুর"</v>
      </c>
    </row>
    <row r="40" ht="15.75" customHeight="1">
      <c r="A40" s="1" t="str">
        <f>IFERROR(__xludf.DUMMYFUNCTION("SPLIT(raw!A40, "","")"),557.0)</f>
        <v>557</v>
      </c>
      <c r="B40" s="2" t="str">
        <f>IFERROR(__xludf.DUMMYFUNCTION("""COMPUTED_VALUE"""),"মোহা। আক্তারুজ্জামান")</f>
        <v>মোহা। আক্তারুজ্জামান</v>
      </c>
      <c r="C40" s="2" t="str">
        <f>IFERROR(__xludf.DUMMYFUNCTION("""COMPUTED_VALUE"""),5.70056000096E11)</f>
        <v>570056000096</v>
      </c>
      <c r="D40" s="2" t="str">
        <f>IFERROR(__xludf.DUMMYFUNCTION("""COMPUTED_VALUE"""),"হবিবার রহমান")</f>
        <v>হবিবার রহমান</v>
      </c>
      <c r="E40" s="2" t="str">
        <f>IFERROR(__xludf.DUMMYFUNCTION("""COMPUTED_VALUE"""),"মর্জিনা খাতুন")</f>
        <v>মর্জিনা খাতুন</v>
      </c>
      <c r="F40" s="2" t="str">
        <f>IFERROR(__xludf.DUMMYFUNCTION("""COMPUTED_VALUE"""),"বেসরকারী চাকুরী")</f>
        <v>বেসরকারী চাকুরী</v>
      </c>
      <c r="G40" s="2" t="str">
        <f>IFERROR(__xludf.DUMMYFUNCTION("""COMPUTED_VALUE"""),"১০/০৬/১৯৯০")</f>
        <v>১০/০৬/১৯৯০</v>
      </c>
      <c r="H40" s="2" t="str">
        <f>IFERROR(__xludf.DUMMYFUNCTION("""COMPUTED_VALUE"""),"""জালশুকা")</f>
        <v>"জালশুকা</v>
      </c>
      <c r="I40" s="2" t="str">
        <f>IFERROR(__xludf.DUMMYFUNCTION("""COMPUTED_VALUE""")," গাংনী")</f>
        <v> গাংনী</v>
      </c>
      <c r="J40" s="2" t="str">
        <f>IFERROR(__xludf.DUMMYFUNCTION("""COMPUTED_VALUE""")," মেহেরপুর""")</f>
        <v> মেহেরপুর"</v>
      </c>
    </row>
    <row r="41" ht="15.75" customHeight="1">
      <c r="A41" s="1" t="str">
        <f>IFERROR(__xludf.DUMMYFUNCTION("SPLIT(raw!A41, "","")"),558.0)</f>
        <v>558</v>
      </c>
      <c r="B41" s="2" t="str">
        <f>IFERROR(__xludf.DUMMYFUNCTION("""COMPUTED_VALUE"""),"মোঃ সোহেল রানা")</f>
        <v>মোঃ সোহেল রানা</v>
      </c>
      <c r="C41" s="2" t="str">
        <f>IFERROR(__xludf.DUMMYFUNCTION("""COMPUTED_VALUE"""),5.70056000097E11)</f>
        <v>570056000097</v>
      </c>
      <c r="D41" s="2" t="str">
        <f>IFERROR(__xludf.DUMMYFUNCTION("""COMPUTED_VALUE"""),"আনিচুর রহমান")</f>
        <v>আনিচুর রহমান</v>
      </c>
      <c r="E41" s="2" t="str">
        <f>IFERROR(__xludf.DUMMYFUNCTION("""COMPUTED_VALUE"""),"মোছাঃ ছালেহা")</f>
        <v>মোছাঃ ছালেহা</v>
      </c>
      <c r="F41" s="2" t="str">
        <f>IFERROR(__xludf.DUMMYFUNCTION("""COMPUTED_VALUE"""),"কৃষক")</f>
        <v>কৃষক</v>
      </c>
      <c r="G41" s="2" t="str">
        <f>IFERROR(__xludf.DUMMYFUNCTION("""COMPUTED_VALUE"""),"১৩/০২/১৯৮৭")</f>
        <v>১৩/০২/১৯৮৭</v>
      </c>
      <c r="H41" s="2" t="str">
        <f>IFERROR(__xludf.DUMMYFUNCTION("""COMPUTED_VALUE"""),"""জালশুকা")</f>
        <v>"জালশুকা</v>
      </c>
      <c r="I41" s="2" t="str">
        <f>IFERROR(__xludf.DUMMYFUNCTION("""COMPUTED_VALUE""")," গাংনী")</f>
        <v> গাংনী</v>
      </c>
      <c r="J41" s="2" t="str">
        <f>IFERROR(__xludf.DUMMYFUNCTION("""COMPUTED_VALUE""")," মেহেরপুর""")</f>
        <v> মেহেরপুর"</v>
      </c>
    </row>
    <row r="42" ht="15.75" customHeight="1">
      <c r="A42" s="1" t="str">
        <f>IFERROR(__xludf.DUMMYFUNCTION("SPLIT(raw!A42, "","")"),559.0)</f>
        <v>559</v>
      </c>
      <c r="B42" s="2" t="str">
        <f>IFERROR(__xludf.DUMMYFUNCTION("""COMPUTED_VALUE"""),"মোঃ উজ্জল আলী")</f>
        <v>মোঃ উজ্জল আলী</v>
      </c>
      <c r="C42" s="2" t="str">
        <f>IFERROR(__xludf.DUMMYFUNCTION("""COMPUTED_VALUE"""),5.70056000099E11)</f>
        <v>570056000099</v>
      </c>
      <c r="D42" s="2" t="str">
        <f>IFERROR(__xludf.DUMMYFUNCTION("""COMPUTED_VALUE"""),"মোঃ রুহুল আমিন")</f>
        <v>মোঃ রুহুল আমিন</v>
      </c>
      <c r="E42" s="2" t="str">
        <f>IFERROR(__xludf.DUMMYFUNCTION("""COMPUTED_VALUE"""),"জাহানারা খাতুন")</f>
        <v>জাহানারা খাতুন</v>
      </c>
      <c r="F42" s="2" t="str">
        <f>IFERROR(__xludf.DUMMYFUNCTION("""COMPUTED_VALUE"""),"দিনমজুর")</f>
        <v>দিনমজুর</v>
      </c>
      <c r="G42" s="2" t="str">
        <f>IFERROR(__xludf.DUMMYFUNCTION("""COMPUTED_VALUE"""),"০৫/০৮/১৯৯০")</f>
        <v>০৫/০৮/১৯৯০</v>
      </c>
      <c r="H42" s="2" t="str">
        <f>IFERROR(__xludf.DUMMYFUNCTION("""COMPUTED_VALUE"""),"""জালশুকা")</f>
        <v>"জালশুকা</v>
      </c>
      <c r="I42" s="2" t="str">
        <f>IFERROR(__xludf.DUMMYFUNCTION("""COMPUTED_VALUE""")," গাংনী")</f>
        <v> গাংনী</v>
      </c>
      <c r="J42" s="2" t="str">
        <f>IFERROR(__xludf.DUMMYFUNCTION("""COMPUTED_VALUE""")," মেহেরপুর""")</f>
        <v> মেহেরপুর"</v>
      </c>
    </row>
    <row r="43" ht="15.75" customHeight="1">
      <c r="A43" s="1" t="str">
        <f>IFERROR(__xludf.DUMMYFUNCTION("SPLIT(raw!A43, "","")"),560.0)</f>
        <v>560</v>
      </c>
      <c r="B43" s="2" t="str">
        <f>IFERROR(__xludf.DUMMYFUNCTION("""COMPUTED_VALUE"""),"মোঃ ইয়াছিন আলী")</f>
        <v>মোঃ ইয়াছিন আলী</v>
      </c>
      <c r="C43" s="2" t="str">
        <f>IFERROR(__xludf.DUMMYFUNCTION("""COMPUTED_VALUE"""),5.70056000101E11)</f>
        <v>570056000101</v>
      </c>
      <c r="D43" s="2" t="str">
        <f>IFERROR(__xludf.DUMMYFUNCTION("""COMPUTED_VALUE"""),"আলাউদ্দীন")</f>
        <v>আলাউদ্দীন</v>
      </c>
      <c r="E43" s="2" t="str">
        <f>IFERROR(__xludf.DUMMYFUNCTION("""COMPUTED_VALUE"""),"আমেনা খাতুন")</f>
        <v>আমেনা খাতুন</v>
      </c>
      <c r="F43" s="2" t="str">
        <f>IFERROR(__xludf.DUMMYFUNCTION("""COMPUTED_VALUE"""),"কৃষক")</f>
        <v>কৃষক</v>
      </c>
      <c r="G43" s="2" t="str">
        <f>IFERROR(__xludf.DUMMYFUNCTION("""COMPUTED_VALUE"""),"১৭/০৭/১৯৯০")</f>
        <v>১৭/০৭/১৯৯০</v>
      </c>
      <c r="H43" s="2" t="str">
        <f>IFERROR(__xludf.DUMMYFUNCTION("""COMPUTED_VALUE"""),"""জালশুকা")</f>
        <v>"জালশুকা</v>
      </c>
      <c r="I43" s="2" t="str">
        <f>IFERROR(__xludf.DUMMYFUNCTION("""COMPUTED_VALUE""")," গাংনী")</f>
        <v> গাংনী</v>
      </c>
      <c r="J43" s="2" t="str">
        <f>IFERROR(__xludf.DUMMYFUNCTION("""COMPUTED_VALUE""")," মেহেরপুর""")</f>
        <v> মেহেরপুর"</v>
      </c>
    </row>
    <row r="44" ht="15.75" customHeight="1">
      <c r="A44" s="1" t="str">
        <f>IFERROR(__xludf.DUMMYFUNCTION("SPLIT(raw!A44, "","")"),561.0)</f>
        <v>561</v>
      </c>
      <c r="B44" s="2" t="str">
        <f>IFERROR(__xludf.DUMMYFUNCTION("""COMPUTED_VALUE"""),"মোঃ আজমাঈল হক")</f>
        <v>মোঃ আজমাঈল হক</v>
      </c>
      <c r="C44" s="2" t="str">
        <f>IFERROR(__xludf.DUMMYFUNCTION("""COMPUTED_VALUE"""),5.70056000102E11)</f>
        <v>570056000102</v>
      </c>
      <c r="D44" s="2" t="str">
        <f>IFERROR(__xludf.DUMMYFUNCTION("""COMPUTED_VALUE"""),"আঃ রাজ্জাক")</f>
        <v>আঃ রাজ্জাক</v>
      </c>
      <c r="E44" s="2" t="str">
        <f>IFERROR(__xludf.DUMMYFUNCTION("""COMPUTED_VALUE"""),"আসরা খাতুন")</f>
        <v>আসরা খাতুন</v>
      </c>
      <c r="F44" s="2" t="str">
        <f>IFERROR(__xludf.DUMMYFUNCTION("""COMPUTED_VALUE"""),"ব্যবসা")</f>
        <v>ব্যবসা</v>
      </c>
      <c r="G44" s="2" t="str">
        <f>IFERROR(__xludf.DUMMYFUNCTION("""COMPUTED_VALUE"""),"০৭/০১/১৯৯১")</f>
        <v>০৭/০১/১৯৯১</v>
      </c>
      <c r="H44" s="2" t="str">
        <f>IFERROR(__xludf.DUMMYFUNCTION("""COMPUTED_VALUE"""),"""জালশুকা")</f>
        <v>"জালশুকা</v>
      </c>
      <c r="I44" s="2" t="str">
        <f>IFERROR(__xludf.DUMMYFUNCTION("""COMPUTED_VALUE""")," গাংনী")</f>
        <v> গাংনী</v>
      </c>
      <c r="J44" s="2" t="str">
        <f>IFERROR(__xludf.DUMMYFUNCTION("""COMPUTED_VALUE""")," মেহেরপুর""")</f>
        <v> মেহেরপুর"</v>
      </c>
    </row>
    <row r="45" ht="15.75" customHeight="1">
      <c r="A45" s="1" t="str">
        <f>IFERROR(__xludf.DUMMYFUNCTION("SPLIT(raw!A45, "","")"),562.0)</f>
        <v>562</v>
      </c>
      <c r="B45" s="2" t="str">
        <f>IFERROR(__xludf.DUMMYFUNCTION("""COMPUTED_VALUE"""),"মোঃ মিজানুর রহমান")</f>
        <v>মোঃ মিজানুর রহমান</v>
      </c>
      <c r="C45" s="2" t="str">
        <f>IFERROR(__xludf.DUMMYFUNCTION("""COMPUTED_VALUE"""),5.70056000103E11)</f>
        <v>570056000103</v>
      </c>
      <c r="D45" s="2" t="str">
        <f>IFERROR(__xludf.DUMMYFUNCTION("""COMPUTED_VALUE"""),"দবির মন্ডল")</f>
        <v>দবির মন্ডল</v>
      </c>
      <c r="E45" s="2" t="str">
        <f>IFERROR(__xludf.DUMMYFUNCTION("""COMPUTED_VALUE"""),"জয়নব নেছা")</f>
        <v>জয়নব নেছা</v>
      </c>
      <c r="F45" s="2" t="str">
        <f>IFERROR(__xludf.DUMMYFUNCTION("""COMPUTED_VALUE"""),"কৃষক")</f>
        <v>কৃষক</v>
      </c>
      <c r="G45" s="2" t="str">
        <f>IFERROR(__xludf.DUMMYFUNCTION("""COMPUTED_VALUE"""),"২৩/০৯/১৯৬৯")</f>
        <v>২৩/০৯/১৯৬৯</v>
      </c>
      <c r="H45" s="2" t="str">
        <f>IFERROR(__xludf.DUMMYFUNCTION("""COMPUTED_VALUE"""),"""জালশুকা")</f>
        <v>"জালশুকা</v>
      </c>
      <c r="I45" s="2" t="str">
        <f>IFERROR(__xludf.DUMMYFUNCTION("""COMPUTED_VALUE""")," গাংনী")</f>
        <v> গাংনী</v>
      </c>
      <c r="J45" s="2" t="str">
        <f>IFERROR(__xludf.DUMMYFUNCTION("""COMPUTED_VALUE""")," মেহেরপুর""")</f>
        <v> মেহেরপুর"</v>
      </c>
    </row>
    <row r="46" ht="15.75" customHeight="1">
      <c r="A46" s="1" t="str">
        <f>IFERROR(__xludf.DUMMYFUNCTION("SPLIT(raw!A46, "","")"),563.0)</f>
        <v>563</v>
      </c>
      <c r="B46" s="2" t="str">
        <f>IFERROR(__xludf.DUMMYFUNCTION("""COMPUTED_VALUE"""),"মোঃ আনিচুর রহমান")</f>
        <v>মোঃ আনিচুর রহমান</v>
      </c>
      <c r="C46" s="2" t="str">
        <f>IFERROR(__xludf.DUMMYFUNCTION("""COMPUTED_VALUE"""),5.70056000107E11)</f>
        <v>570056000107</v>
      </c>
      <c r="D46" s="2" t="str">
        <f>IFERROR(__xludf.DUMMYFUNCTION("""COMPUTED_VALUE"""),"এন এস মুক্তার আলী")</f>
        <v>এন এস মুক্তার আলী</v>
      </c>
      <c r="E46" s="2" t="str">
        <f>IFERROR(__xludf.DUMMYFUNCTION("""COMPUTED_VALUE"""),"মোছাঃ রাবেয়া খাতুন")</f>
        <v>মোছাঃ রাবেয়া খাতুন</v>
      </c>
      <c r="F46" s="2" t="str">
        <f>IFERROR(__xludf.DUMMYFUNCTION("""COMPUTED_VALUE"""),"কৃষক")</f>
        <v>কৃষক</v>
      </c>
      <c r="G46" s="2" t="str">
        <f>IFERROR(__xludf.DUMMYFUNCTION("""COMPUTED_VALUE"""),"০১/০৫/১৯৯০")</f>
        <v>০১/০৫/১৯৯০</v>
      </c>
      <c r="H46" s="2" t="str">
        <f>IFERROR(__xludf.DUMMYFUNCTION("""COMPUTED_VALUE"""),"""জালশুকা")</f>
        <v>"জালশুকা</v>
      </c>
      <c r="I46" s="2" t="str">
        <f>IFERROR(__xludf.DUMMYFUNCTION("""COMPUTED_VALUE""")," গাংনী")</f>
        <v> গাংনী</v>
      </c>
      <c r="J46" s="2" t="str">
        <f>IFERROR(__xludf.DUMMYFUNCTION("""COMPUTED_VALUE""")," মেহেরপুর""")</f>
        <v> মেহেরপুর"</v>
      </c>
    </row>
    <row r="47" ht="15.75" customHeight="1">
      <c r="A47" s="1" t="str">
        <f>IFERROR(__xludf.DUMMYFUNCTION("SPLIT(raw!A47, "","")"),564.0)</f>
        <v>564</v>
      </c>
      <c r="B47" s="2" t="str">
        <f>IFERROR(__xludf.DUMMYFUNCTION("""COMPUTED_VALUE"""),"সাধন আলী")</f>
        <v>সাধন আলী</v>
      </c>
      <c r="C47" s="2" t="str">
        <f>IFERROR(__xludf.DUMMYFUNCTION("""COMPUTED_VALUE"""),5.70056000109E11)</f>
        <v>570056000109</v>
      </c>
      <c r="D47" s="2" t="str">
        <f>IFERROR(__xludf.DUMMYFUNCTION("""COMPUTED_VALUE"""),"খালেক")</f>
        <v>খালেক</v>
      </c>
      <c r="E47" s="2" t="str">
        <f>IFERROR(__xludf.DUMMYFUNCTION("""COMPUTED_VALUE"""),"সুরাতন")</f>
        <v>সুরাতন</v>
      </c>
      <c r="F47" s="2" t="str">
        <f>IFERROR(__xludf.DUMMYFUNCTION("""COMPUTED_VALUE"""),"দিনমজুর")</f>
        <v>দিনমজুর</v>
      </c>
      <c r="G47" s="2" t="str">
        <f>IFERROR(__xludf.DUMMYFUNCTION("""COMPUTED_VALUE"""),"০১/০১/১৯৯০")</f>
        <v>০১/০১/১৯৯০</v>
      </c>
      <c r="H47" s="2" t="str">
        <f>IFERROR(__xludf.DUMMYFUNCTION("""COMPUTED_VALUE"""),"""জালশুকা")</f>
        <v>"জালশুকা</v>
      </c>
      <c r="I47" s="2" t="str">
        <f>IFERROR(__xludf.DUMMYFUNCTION("""COMPUTED_VALUE""")," গাংনী")</f>
        <v> গাংনী</v>
      </c>
      <c r="J47" s="2" t="str">
        <f>IFERROR(__xludf.DUMMYFUNCTION("""COMPUTED_VALUE""")," মেহেরপুর""")</f>
        <v> মেহেরপুর"</v>
      </c>
    </row>
    <row r="48" ht="15.75" customHeight="1">
      <c r="A48" s="1" t="str">
        <f>IFERROR(__xludf.DUMMYFUNCTION("SPLIT(raw!A48, "","")"),565.0)</f>
        <v>565</v>
      </c>
      <c r="B48" s="2" t="str">
        <f>IFERROR(__xludf.DUMMYFUNCTION("""COMPUTED_VALUE"""),"মোস্তফা মোহাম্মদ")</f>
        <v>মোস্তফা মোহাম্মদ</v>
      </c>
      <c r="C48" s="2" t="str">
        <f>IFERROR(__xludf.DUMMYFUNCTION("""COMPUTED_VALUE"""),5.70056000111E11)</f>
        <v>570056000111</v>
      </c>
      <c r="D48" s="2" t="str">
        <f>IFERROR(__xludf.DUMMYFUNCTION("""COMPUTED_VALUE"""),"মোঃ আমজাদ হোসেন")</f>
        <v>মোঃ আমজাদ হোসেন</v>
      </c>
      <c r="E48" s="2" t="str">
        <f>IFERROR(__xludf.DUMMYFUNCTION("""COMPUTED_VALUE"""),"মোছাঃ সাহেদা খাতুন")</f>
        <v>মোছাঃ সাহেদা খাতুন</v>
      </c>
      <c r="F48" s="2" t="str">
        <f>IFERROR(__xludf.DUMMYFUNCTION("""COMPUTED_VALUE"""),"ছাত্র/ছাত্রী")</f>
        <v>ছাত্র/ছাত্রী</v>
      </c>
      <c r="G48" s="2" t="str">
        <f>IFERROR(__xludf.DUMMYFUNCTION("""COMPUTED_VALUE"""),"০১/০২/১৯৯০")</f>
        <v>০১/০২/১৯৯০</v>
      </c>
      <c r="H48" s="2" t="str">
        <f>IFERROR(__xludf.DUMMYFUNCTION("""COMPUTED_VALUE"""),"""জালশুকা")</f>
        <v>"জালশুকা</v>
      </c>
      <c r="I48" s="2" t="str">
        <f>IFERROR(__xludf.DUMMYFUNCTION("""COMPUTED_VALUE""")," গাংনী")</f>
        <v> গাংনী</v>
      </c>
      <c r="J48" s="2" t="str">
        <f>IFERROR(__xludf.DUMMYFUNCTION("""COMPUTED_VALUE""")," মেহেরপুর""")</f>
        <v> মেহেরপুর"</v>
      </c>
    </row>
    <row r="49" ht="15.75" customHeight="1">
      <c r="A49" s="1" t="str">
        <f>IFERROR(__xludf.DUMMYFUNCTION("SPLIT(raw!A49, "","")"),566.0)</f>
        <v>566</v>
      </c>
      <c r="B49" s="2" t="str">
        <f>IFERROR(__xludf.DUMMYFUNCTION("""COMPUTED_VALUE"""),"মোঃ জসিম উদ্দীন")</f>
        <v>মোঃ জসিম উদ্দীন</v>
      </c>
      <c r="C49" s="2" t="str">
        <f>IFERROR(__xludf.DUMMYFUNCTION("""COMPUTED_VALUE"""),5.70056000112E11)</f>
        <v>570056000112</v>
      </c>
      <c r="D49" s="2" t="str">
        <f>IFERROR(__xludf.DUMMYFUNCTION("""COMPUTED_VALUE"""),"মোঃ শহিদুল ইসলাম")</f>
        <v>মোঃ শহিদুল ইসলাম</v>
      </c>
      <c r="E49" s="2" t="str">
        <f>IFERROR(__xludf.DUMMYFUNCTION("""COMPUTED_VALUE"""),"ছাহারন নেছা")</f>
        <v>ছাহারন নেছা</v>
      </c>
      <c r="F49" s="2" t="str">
        <f>IFERROR(__xludf.DUMMYFUNCTION("""COMPUTED_VALUE"""),"কৃষক")</f>
        <v>কৃষক</v>
      </c>
      <c r="G49" s="2" t="str">
        <f>IFERROR(__xludf.DUMMYFUNCTION("""COMPUTED_VALUE"""),"০১/০৩/১৯৮৭")</f>
        <v>০১/০৩/১৯৮৭</v>
      </c>
      <c r="H49" s="2" t="str">
        <f>IFERROR(__xludf.DUMMYFUNCTION("""COMPUTED_VALUE"""),"""জালশুকা")</f>
        <v>"জালশুকা</v>
      </c>
      <c r="I49" s="2" t="str">
        <f>IFERROR(__xludf.DUMMYFUNCTION("""COMPUTED_VALUE""")," গ্রাংনী")</f>
        <v> গ্রাংনী</v>
      </c>
      <c r="J49" s="2" t="str">
        <f>IFERROR(__xludf.DUMMYFUNCTION("""COMPUTED_VALUE""")," মেহেরপুর""")</f>
        <v> মেহেরপুর"</v>
      </c>
    </row>
    <row r="50" ht="15.75" customHeight="1">
      <c r="A50" s="1" t="str">
        <f>IFERROR(__xludf.DUMMYFUNCTION("SPLIT(raw!A50, "","")"),567.0)</f>
        <v>567</v>
      </c>
      <c r="B50" s="2" t="str">
        <f>IFERROR(__xludf.DUMMYFUNCTION("""COMPUTED_VALUE"""),"মোঃ দিপক আলী")</f>
        <v>মোঃ দিপক আলী</v>
      </c>
      <c r="C50" s="2" t="str">
        <f>IFERROR(__xludf.DUMMYFUNCTION("""COMPUTED_VALUE"""),5.70056000113E11)</f>
        <v>570056000113</v>
      </c>
      <c r="D50" s="2" t="str">
        <f>IFERROR(__xludf.DUMMYFUNCTION("""COMPUTED_VALUE"""),"মোঃ আয়ুব আলী")</f>
        <v>মোঃ আয়ুব আলী</v>
      </c>
      <c r="E50" s="2" t="str">
        <f>IFERROR(__xludf.DUMMYFUNCTION("""COMPUTED_VALUE"""),"মোছাঃ মর্জিনা খাতুন")</f>
        <v>মোছাঃ মর্জিনা খাতুন</v>
      </c>
      <c r="F50" s="2" t="str">
        <f>IFERROR(__xludf.DUMMYFUNCTION("""COMPUTED_VALUE"""),"দিনমজুর")</f>
        <v>দিনমজুর</v>
      </c>
      <c r="G50" s="2" t="str">
        <f>IFERROR(__xludf.DUMMYFUNCTION("""COMPUTED_VALUE"""),"০১/০১/১৯৯০")</f>
        <v>০১/০১/১৯৯০</v>
      </c>
      <c r="H50" s="2" t="str">
        <f>IFERROR(__xludf.DUMMYFUNCTION("""COMPUTED_VALUE"""),"""জালশুকা")</f>
        <v>"জালশুকা</v>
      </c>
      <c r="I50" s="2" t="str">
        <f>IFERROR(__xludf.DUMMYFUNCTION("""COMPUTED_VALUE""")," গাংনী")</f>
        <v> গাংনী</v>
      </c>
      <c r="J50" s="2" t="str">
        <f>IFERROR(__xludf.DUMMYFUNCTION("""COMPUTED_VALUE""")," মেহেরপুর""")</f>
        <v> মেহেরপুর"</v>
      </c>
    </row>
    <row r="51" ht="15.75" customHeight="1">
      <c r="A51" s="1" t="str">
        <f>IFERROR(__xludf.DUMMYFUNCTION("SPLIT(raw!A51, "","")"),568.0)</f>
        <v>568</v>
      </c>
      <c r="B51" s="2" t="str">
        <f>IFERROR(__xludf.DUMMYFUNCTION("""COMPUTED_VALUE"""),"মোঃ রেজাউল করিম")</f>
        <v>মোঃ রেজাউল করিম</v>
      </c>
      <c r="C51" s="2" t="str">
        <f>IFERROR(__xludf.DUMMYFUNCTION("""COMPUTED_VALUE"""),5.70056000121E11)</f>
        <v>570056000121</v>
      </c>
      <c r="D51" s="2" t="str">
        <f>IFERROR(__xludf.DUMMYFUNCTION("""COMPUTED_VALUE"""),"মোঃ একরামুল হক")</f>
        <v>মোঃ একরামুল হক</v>
      </c>
      <c r="E51" s="2" t="str">
        <f>IFERROR(__xludf.DUMMYFUNCTION("""COMPUTED_VALUE"""),"মোছাঃ সুলতানা খাতুন")</f>
        <v>মোছাঃ সুলতানা খাতুন</v>
      </c>
      <c r="F51" s="2" t="str">
        <f>IFERROR(__xludf.DUMMYFUNCTION("""COMPUTED_VALUE"""),"কৃষক")</f>
        <v>কৃষক</v>
      </c>
      <c r="G51" s="2" t="str">
        <f>IFERROR(__xludf.DUMMYFUNCTION("""COMPUTED_VALUE"""),"২৫/০৫/১৯৯১")</f>
        <v>২৫/০৫/১৯৯১</v>
      </c>
      <c r="H51" s="2" t="str">
        <f>IFERROR(__xludf.DUMMYFUNCTION("""COMPUTED_VALUE"""),"""জালশুকা")</f>
        <v>"জালশুকা</v>
      </c>
      <c r="I51" s="2" t="str">
        <f>IFERROR(__xludf.DUMMYFUNCTION("""COMPUTED_VALUE""")," গাংনী")</f>
        <v> গাংনী</v>
      </c>
      <c r="J51" s="2" t="str">
        <f>IFERROR(__xludf.DUMMYFUNCTION("""COMPUTED_VALUE""")," মেহেরপুর""")</f>
        <v> মেহেরপুর"</v>
      </c>
    </row>
    <row r="52" ht="15.75" customHeight="1">
      <c r="A52" s="1" t="str">
        <f>IFERROR(__xludf.DUMMYFUNCTION("SPLIT(raw!A52, "","")"),569.0)</f>
        <v>569</v>
      </c>
      <c r="B52" s="2" t="str">
        <f>IFERROR(__xludf.DUMMYFUNCTION("""COMPUTED_VALUE"""),"মোহাঃ রকিবুল ইসলাম")</f>
        <v>মোহাঃ রকিবুল ইসলাম</v>
      </c>
      <c r="C52" s="2" t="str">
        <f>IFERROR(__xludf.DUMMYFUNCTION("""COMPUTED_VALUE"""),5.70056000128E11)</f>
        <v>570056000128</v>
      </c>
      <c r="D52" s="2" t="str">
        <f>IFERROR(__xludf.DUMMYFUNCTION("""COMPUTED_VALUE"""),"মোঃ হানিফ আলী")</f>
        <v>মোঃ হানিফ আলী</v>
      </c>
      <c r="E52" s="2" t="str">
        <f>IFERROR(__xludf.DUMMYFUNCTION("""COMPUTED_VALUE"""),"মোঃ আকলিমা")</f>
        <v>মোঃ আকলিমা</v>
      </c>
      <c r="F52" s="2" t="str">
        <f>IFERROR(__xludf.DUMMYFUNCTION("""COMPUTED_VALUE"""),"ছাত্র/ছাত্রী")</f>
        <v>ছাত্র/ছাত্রী</v>
      </c>
      <c r="G52" s="2" t="str">
        <f>IFERROR(__xludf.DUMMYFUNCTION("""COMPUTED_VALUE"""),"২৭/০৮/১৯৯১")</f>
        <v>২৭/০৮/১৯৯১</v>
      </c>
      <c r="H52" s="2" t="str">
        <f>IFERROR(__xludf.DUMMYFUNCTION("""COMPUTED_VALUE"""),"""জালশুকা")</f>
        <v>"জালশুকা</v>
      </c>
      <c r="I52" s="2" t="str">
        <f>IFERROR(__xludf.DUMMYFUNCTION("""COMPUTED_VALUE""")," গাংনী")</f>
        <v> গাংনী</v>
      </c>
      <c r="J52" s="2" t="str">
        <f>IFERROR(__xludf.DUMMYFUNCTION("""COMPUTED_VALUE""")," মেহেরপুর""")</f>
        <v> মেহেরপুর"</v>
      </c>
    </row>
    <row r="53" ht="15.75" customHeight="1">
      <c r="A53" s="1" t="str">
        <f>IFERROR(__xludf.DUMMYFUNCTION("SPLIT(raw!A53, "","")"),570.0)</f>
        <v>570</v>
      </c>
      <c r="B53" s="2" t="str">
        <f>IFERROR(__xludf.DUMMYFUNCTION("""COMPUTED_VALUE"""),"মোঃ রানা")</f>
        <v>মোঃ রানা</v>
      </c>
      <c r="C53" s="2" t="str">
        <f>IFERROR(__xludf.DUMMYFUNCTION("""COMPUTED_VALUE"""),5.70056000129E11)</f>
        <v>570056000129</v>
      </c>
      <c r="D53" s="2" t="str">
        <f>IFERROR(__xludf.DUMMYFUNCTION("""COMPUTED_VALUE"""),"মোঃ জাহা বক্স")</f>
        <v>মোঃ জাহা বক্স</v>
      </c>
      <c r="E53" s="2" t="str">
        <f>IFERROR(__xludf.DUMMYFUNCTION("""COMPUTED_VALUE"""),"মোছাঃ আয়মানা")</f>
        <v>মোছাঃ আয়মানা</v>
      </c>
      <c r="F53" s="2" t="str">
        <f>IFERROR(__xludf.DUMMYFUNCTION("""COMPUTED_VALUE"""),"কৃষক")</f>
        <v>কৃষক</v>
      </c>
      <c r="G53" s="2" t="str">
        <f>IFERROR(__xludf.DUMMYFUNCTION("""COMPUTED_VALUE"""),"০১/০৬/১৯৯০")</f>
        <v>০১/০৬/১৯৯০</v>
      </c>
      <c r="H53" s="2" t="str">
        <f>IFERROR(__xludf.DUMMYFUNCTION("""COMPUTED_VALUE"""),"""জালশুকা")</f>
        <v>"জালশুকা</v>
      </c>
      <c r="I53" s="2" t="str">
        <f>IFERROR(__xludf.DUMMYFUNCTION("""COMPUTED_VALUE""")," গাংনী")</f>
        <v> গাংনী</v>
      </c>
      <c r="J53" s="2" t="str">
        <f>IFERROR(__xludf.DUMMYFUNCTION("""COMPUTED_VALUE""")," মেহেরপুর""")</f>
        <v> মেহেরপুর"</v>
      </c>
    </row>
    <row r="54" ht="15.75" customHeight="1">
      <c r="A54" s="1" t="str">
        <f>IFERROR(__xludf.DUMMYFUNCTION("SPLIT(raw!A54, "","")"),571.0)</f>
        <v>571</v>
      </c>
      <c r="B54" s="2" t="str">
        <f>IFERROR(__xludf.DUMMYFUNCTION("""COMPUTED_VALUE"""),"মোঃ মিজানুর রহমান")</f>
        <v>মোঃ মিজানুর রহমান</v>
      </c>
      <c r="C54" s="2" t="str">
        <f>IFERROR(__xludf.DUMMYFUNCTION("""COMPUTED_VALUE"""),5.7005600013E11)</f>
        <v>570056000130</v>
      </c>
      <c r="D54" s="2" t="str">
        <f>IFERROR(__xludf.DUMMYFUNCTION("""COMPUTED_VALUE"""),"মুকতার")</f>
        <v>মুকতার</v>
      </c>
      <c r="E54" s="2" t="str">
        <f>IFERROR(__xludf.DUMMYFUNCTION("""COMPUTED_VALUE"""),"মোছাঃ রাবেয়া খাতুন")</f>
        <v>মোছাঃ রাবেয়া খাতুন</v>
      </c>
      <c r="F54" s="2" t="str">
        <f>IFERROR(__xludf.DUMMYFUNCTION("""COMPUTED_VALUE"""),"দিনমজুর")</f>
        <v>দিনমজুর</v>
      </c>
      <c r="G54" s="2" t="str">
        <f>IFERROR(__xludf.DUMMYFUNCTION("""COMPUTED_VALUE"""),"০১/০১/১৯৮৬")</f>
        <v>০১/০১/১৯৮৬</v>
      </c>
      <c r="H54" s="2" t="str">
        <f>IFERROR(__xludf.DUMMYFUNCTION("""COMPUTED_VALUE"""),"""জালশুকা")</f>
        <v>"জালশুকা</v>
      </c>
      <c r="I54" s="2" t="str">
        <f>IFERROR(__xludf.DUMMYFUNCTION("""COMPUTED_VALUE""")," গাংনী")</f>
        <v> গাংনী</v>
      </c>
      <c r="J54" s="2" t="str">
        <f>IFERROR(__xludf.DUMMYFUNCTION("""COMPUTED_VALUE""")," মেহেরপুর""")</f>
        <v> মেহেরপুর"</v>
      </c>
    </row>
    <row r="55" ht="15.75" customHeight="1">
      <c r="A55" s="1" t="str">
        <f>IFERROR(__xludf.DUMMYFUNCTION("SPLIT(raw!A55, "","")"),572.0)</f>
        <v>572</v>
      </c>
      <c r="B55" s="2" t="str">
        <f>IFERROR(__xludf.DUMMYFUNCTION("""COMPUTED_VALUE"""),"মোঃ রুবেল আলী")</f>
        <v>মোঃ রুবেল আলী</v>
      </c>
      <c r="C55" s="2" t="str">
        <f>IFERROR(__xludf.DUMMYFUNCTION("""COMPUTED_VALUE"""),5.70056000132E11)</f>
        <v>570056000132</v>
      </c>
      <c r="D55" s="2" t="str">
        <f>IFERROR(__xludf.DUMMYFUNCTION("""COMPUTED_VALUE"""),"আবেদুর রহমান")</f>
        <v>আবেদুর রহমান</v>
      </c>
      <c r="E55" s="2" t="str">
        <f>IFERROR(__xludf.DUMMYFUNCTION("""COMPUTED_VALUE"""),"মোছাঃ গুলশানারা খাতুন")</f>
        <v>মোছাঃ গুলশানারা খাতুন</v>
      </c>
      <c r="F55" s="2" t="str">
        <f>IFERROR(__xludf.DUMMYFUNCTION("""COMPUTED_VALUE"""),"কৃষক")</f>
        <v>কৃষক</v>
      </c>
      <c r="G55" s="2" t="str">
        <f>IFERROR(__xludf.DUMMYFUNCTION("""COMPUTED_VALUE"""),"১৮/০৫/১৯৮৯")</f>
        <v>১৮/০৫/১৯৮৯</v>
      </c>
      <c r="H55" s="2" t="str">
        <f>IFERROR(__xludf.DUMMYFUNCTION("""COMPUTED_VALUE"""),"""জালশুকা")</f>
        <v>"জালশুকা</v>
      </c>
      <c r="I55" s="2" t="str">
        <f>IFERROR(__xludf.DUMMYFUNCTION("""COMPUTED_VALUE""")," গাংনী")</f>
        <v> গাংনী</v>
      </c>
      <c r="J55" s="2" t="str">
        <f>IFERROR(__xludf.DUMMYFUNCTION("""COMPUTED_VALUE""")," মেহেরপুর""")</f>
        <v> মেহেরপুর"</v>
      </c>
    </row>
    <row r="56" ht="15.75" customHeight="1">
      <c r="A56" s="1" t="str">
        <f>IFERROR(__xludf.DUMMYFUNCTION("SPLIT(raw!A56, "","")"),573.0)</f>
        <v>573</v>
      </c>
      <c r="B56" s="2" t="str">
        <f>IFERROR(__xludf.DUMMYFUNCTION("""COMPUTED_VALUE"""),"মোঃ লাল্টু মিয়া")</f>
        <v>মোঃ লাল্টু মিয়া</v>
      </c>
      <c r="C56" s="2" t="str">
        <f>IFERROR(__xludf.DUMMYFUNCTION("""COMPUTED_VALUE"""),5.70056000136E11)</f>
        <v>570056000136</v>
      </c>
      <c r="D56" s="2" t="str">
        <f>IFERROR(__xludf.DUMMYFUNCTION("""COMPUTED_VALUE"""),"ওমর আলী")</f>
        <v>ওমর আলী</v>
      </c>
      <c r="E56" s="2" t="str">
        <f>IFERROR(__xludf.DUMMYFUNCTION("""COMPUTED_VALUE"""),"মোছাঃ ছারেজান নেছা")</f>
        <v>মোছাঃ ছারেজান নেছা</v>
      </c>
      <c r="F56" s="2" t="str">
        <f>IFERROR(__xludf.DUMMYFUNCTION("""COMPUTED_VALUE"""),"কৃষক")</f>
        <v>কৃষক</v>
      </c>
      <c r="G56" s="2" t="str">
        <f>IFERROR(__xludf.DUMMYFUNCTION("""COMPUTED_VALUE"""),"০১/০৫/১৯৮৬")</f>
        <v>০১/০৫/১৯৮৬</v>
      </c>
      <c r="H56" s="2" t="str">
        <f>IFERROR(__xludf.DUMMYFUNCTION("""COMPUTED_VALUE"""),"""জালশুকা")</f>
        <v>"জালশুকা</v>
      </c>
      <c r="I56" s="2" t="str">
        <f>IFERROR(__xludf.DUMMYFUNCTION("""COMPUTED_VALUE""")," গাংনী")</f>
        <v> গাংনী</v>
      </c>
      <c r="J56" s="2" t="str">
        <f>IFERROR(__xludf.DUMMYFUNCTION("""COMPUTED_VALUE""")," মেহেরপুর""")</f>
        <v> মেহেরপুর"</v>
      </c>
    </row>
    <row r="57" ht="15.75" customHeight="1">
      <c r="A57" s="1" t="str">
        <f>IFERROR(__xludf.DUMMYFUNCTION("SPLIT(raw!A57, "","")"),736.0)</f>
        <v>736</v>
      </c>
      <c r="B57" s="2" t="str">
        <f>IFERROR(__xludf.DUMMYFUNCTION("""COMPUTED_VALUE"""),"মাহাবুল")</f>
        <v>মাহাবুল</v>
      </c>
      <c r="C57" s="2" t="str">
        <f>IFERROR(__xludf.DUMMYFUNCTION("""COMPUTED_VALUE"""),5.70056000424E11)</f>
        <v>570056000424</v>
      </c>
      <c r="D57" s="2" t="str">
        <f>IFERROR(__xludf.DUMMYFUNCTION("""COMPUTED_VALUE"""),"জামাল")</f>
        <v>জামাল</v>
      </c>
      <c r="E57" s="2" t="str">
        <f>IFERROR(__xludf.DUMMYFUNCTION("""COMPUTED_VALUE"""),"বাসিরন")</f>
        <v>বাসিরন</v>
      </c>
      <c r="F57" s="2" t="str">
        <f>IFERROR(__xludf.DUMMYFUNCTION("""COMPUTED_VALUE"""),"কৃষক")</f>
        <v>কৃষক</v>
      </c>
      <c r="G57" s="2" t="str">
        <f>IFERROR(__xludf.DUMMYFUNCTION("""COMPUTED_VALUE"""),"০৫/০২/১৯৯০")</f>
        <v>০৫/০২/১৯৯০</v>
      </c>
      <c r="H57" s="2" t="str">
        <f>IFERROR(__xludf.DUMMYFUNCTION("""COMPUTED_VALUE"""),"""জালশুকা")</f>
        <v>"জালশুকা</v>
      </c>
      <c r="I57" s="2" t="str">
        <f>IFERROR(__xludf.DUMMYFUNCTION("""COMPUTED_VALUE""")," গাংনী")</f>
        <v> গাংনী</v>
      </c>
      <c r="J57" s="2" t="str">
        <f>IFERROR(__xludf.DUMMYFUNCTION("""COMPUTED_VALUE""")," মেহেরপুর""")</f>
        <v> মেহেরপুর"</v>
      </c>
    </row>
    <row r="58" ht="15.75" customHeight="1">
      <c r="A58" s="1" t="str">
        <f>IFERROR(__xludf.DUMMYFUNCTION("SPLIT(raw!A58, "","")"),737.0)</f>
        <v>737</v>
      </c>
      <c r="B58" s="2" t="str">
        <f>IFERROR(__xludf.DUMMYFUNCTION("""COMPUTED_VALUE"""),"মোঃ নাইম")</f>
        <v>মোঃ নাইম</v>
      </c>
      <c r="C58" s="2" t="str">
        <f>IFERROR(__xludf.DUMMYFUNCTION("""COMPUTED_VALUE"""),5.70052000426E11)</f>
        <v>570052000426</v>
      </c>
      <c r="D58" s="2" t="str">
        <f>IFERROR(__xludf.DUMMYFUNCTION("""COMPUTED_VALUE"""),"মোঃ আব্দুর রশিদ")</f>
        <v>মোঃ আব্দুর রশিদ</v>
      </c>
      <c r="E58" s="2" t="str">
        <f>IFERROR(__xludf.DUMMYFUNCTION("""COMPUTED_VALUE"""),"মোছাঃ নাসিমা খাতুন")</f>
        <v>মোছাঃ নাসিমা খাতুন</v>
      </c>
      <c r="F58" s="2" t="str">
        <f>IFERROR(__xludf.DUMMYFUNCTION("""COMPUTED_VALUE"""),"ছাত্র/ছাত্রী")</f>
        <v>ছাত্র/ছাত্রী</v>
      </c>
      <c r="G58" s="2" t="str">
        <f>IFERROR(__xludf.DUMMYFUNCTION("""COMPUTED_VALUE"""),"২০/০৭/২০০৩")</f>
        <v>২০/০৭/২০০৩</v>
      </c>
      <c r="H58" s="2" t="str">
        <f>IFERROR(__xludf.DUMMYFUNCTION("""COMPUTED_VALUE"""),"""জালশুকা")</f>
        <v>"জালশুকা</v>
      </c>
      <c r="I58" s="2" t="str">
        <f>IFERROR(__xludf.DUMMYFUNCTION("""COMPUTED_VALUE""")," গাংনী")</f>
        <v> গাংনী</v>
      </c>
      <c r="J58" s="2" t="str">
        <f>IFERROR(__xludf.DUMMYFUNCTION("""COMPUTED_VALUE""")," মেহেরপুর""")</f>
        <v> মেহেরপুর"</v>
      </c>
    </row>
    <row r="59" ht="15.75" customHeight="1">
      <c r="A59" s="1" t="str">
        <f>IFERROR(__xludf.DUMMYFUNCTION("SPLIT(raw!A59, "","")"),738.0)</f>
        <v>738</v>
      </c>
      <c r="B59" s="2" t="str">
        <f>IFERROR(__xludf.DUMMYFUNCTION("""COMPUTED_VALUE"""),"মোঃ আল আমিন")</f>
        <v>মোঃ আল আমিন</v>
      </c>
      <c r="C59" s="2" t="str">
        <f>IFERROR(__xludf.DUMMYFUNCTION("""COMPUTED_VALUE"""),5.70056000427E11)</f>
        <v>570056000427</v>
      </c>
      <c r="D59" s="2" t="str">
        <f>IFERROR(__xludf.DUMMYFUNCTION("""COMPUTED_VALUE"""),"আব্দুল খালেক")</f>
        <v>আব্দুল খালেক</v>
      </c>
      <c r="E59" s="2" t="str">
        <f>IFERROR(__xludf.DUMMYFUNCTION("""COMPUTED_VALUE"""),"মোছাঃ সাহান্নারা")</f>
        <v>মোছাঃ সাহান্নারা</v>
      </c>
      <c r="F59" s="2" t="str">
        <f>IFERROR(__xludf.DUMMYFUNCTION("""COMPUTED_VALUE"""),"কৃষক")</f>
        <v>কৃষক</v>
      </c>
      <c r="G59" s="2" t="str">
        <f>IFERROR(__xludf.DUMMYFUNCTION("""COMPUTED_VALUE"""),"২০/০৩/২০০০")</f>
        <v>২০/০৩/২০০০</v>
      </c>
      <c r="H59" s="2" t="str">
        <f>IFERROR(__xludf.DUMMYFUNCTION("""COMPUTED_VALUE"""),"""জালশুকা")</f>
        <v>"জালশুকা</v>
      </c>
      <c r="I59" s="2" t="str">
        <f>IFERROR(__xludf.DUMMYFUNCTION("""COMPUTED_VALUE""")," গাংনী")</f>
        <v> গাংনী</v>
      </c>
      <c r="J59" s="2" t="str">
        <f>IFERROR(__xludf.DUMMYFUNCTION("""COMPUTED_VALUE""")," মেহেরপুর""")</f>
        <v> মেহেরপুর"</v>
      </c>
    </row>
    <row r="60" ht="15.75" customHeight="1">
      <c r="A60" s="1" t="str">
        <f>IFERROR(__xludf.DUMMYFUNCTION("SPLIT(raw!A60, "","")"),739.0)</f>
        <v>739</v>
      </c>
      <c r="B60" s="2" t="str">
        <f>IFERROR(__xludf.DUMMYFUNCTION("""COMPUTED_VALUE"""),"মোঃ নাজমুল হুদা")</f>
        <v>মোঃ নাজমুল হুদা</v>
      </c>
      <c r="C60" s="2" t="str">
        <f>IFERROR(__xludf.DUMMYFUNCTION("""COMPUTED_VALUE"""),5.70056000428E11)</f>
        <v>570056000428</v>
      </c>
      <c r="D60" s="2" t="str">
        <f>IFERROR(__xludf.DUMMYFUNCTION("""COMPUTED_VALUE"""),"মোঃ রুহুল আমিন")</f>
        <v>মোঃ রুহুল আমিন</v>
      </c>
      <c r="E60" s="2" t="str">
        <f>IFERROR(__xludf.DUMMYFUNCTION("""COMPUTED_VALUE"""),"মোছাঃ শাহেদা খাতুন")</f>
        <v>মোছাঃ শাহেদা খাতুন</v>
      </c>
      <c r="F60" s="2" t="str">
        <f>IFERROR(__xludf.DUMMYFUNCTION("""COMPUTED_VALUE"""),"কৃষক")</f>
        <v>কৃষক</v>
      </c>
      <c r="G60" s="2" t="str">
        <f>IFERROR(__xludf.DUMMYFUNCTION("""COMPUTED_VALUE"""),"১৫/০৬/১৯৮৫")</f>
        <v>১৫/০৬/১৯৮৫</v>
      </c>
      <c r="H60" s="2" t="str">
        <f>IFERROR(__xludf.DUMMYFUNCTION("""COMPUTED_VALUE"""),"""জালশুকা")</f>
        <v>"জালশুকা</v>
      </c>
      <c r="I60" s="2" t="str">
        <f>IFERROR(__xludf.DUMMYFUNCTION("""COMPUTED_VALUE""")," গাংনী")</f>
        <v> গাংনী</v>
      </c>
      <c r="J60" s="2" t="str">
        <f>IFERROR(__xludf.DUMMYFUNCTION("""COMPUTED_VALUE""")," মেহেরপুর""")</f>
        <v> মেহেরপুর"</v>
      </c>
    </row>
    <row r="61" ht="15.75" customHeight="1">
      <c r="A61" s="1" t="str">
        <f>IFERROR(__xludf.DUMMYFUNCTION("SPLIT(raw!A61, "","")"),740.0)</f>
        <v>740</v>
      </c>
      <c r="B61" s="2" t="str">
        <f>IFERROR(__xludf.DUMMYFUNCTION("""COMPUTED_VALUE"""),"মোঃ রাকিব হোসেন")</f>
        <v>মোঃ রাকিব হোসেন</v>
      </c>
      <c r="C61" s="2" t="str">
        <f>IFERROR(__xludf.DUMMYFUNCTION("""COMPUTED_VALUE"""),5.70056000429E11)</f>
        <v>570056000429</v>
      </c>
      <c r="D61" s="2" t="str">
        <f>IFERROR(__xludf.DUMMYFUNCTION("""COMPUTED_VALUE"""),"মোহাঃ রইছউদ্দীন")</f>
        <v>মোহাঃ রইছউদ্দীন</v>
      </c>
      <c r="E61" s="2" t="str">
        <f>IFERROR(__xludf.DUMMYFUNCTION("""COMPUTED_VALUE"""),"মোছাঃ সুবারন নেছা")</f>
        <v>মোছাঃ সুবারন নেছা</v>
      </c>
      <c r="F61" s="2" t="str">
        <f>IFERROR(__xludf.DUMMYFUNCTION("""COMPUTED_VALUE"""),"কৃষক")</f>
        <v>কৃষক</v>
      </c>
      <c r="G61" s="2" t="str">
        <f>IFERROR(__xludf.DUMMYFUNCTION("""COMPUTED_VALUE"""),"০১/০১/২০০৩")</f>
        <v>০১/০১/২০০৩</v>
      </c>
      <c r="H61" s="2" t="str">
        <f>IFERROR(__xludf.DUMMYFUNCTION("""COMPUTED_VALUE"""),"""জালশুকা")</f>
        <v>"জালশুকা</v>
      </c>
      <c r="I61" s="2" t="str">
        <f>IFERROR(__xludf.DUMMYFUNCTION("""COMPUTED_VALUE""")," গাংনী")</f>
        <v> গাংনী</v>
      </c>
      <c r="J61" s="2" t="str">
        <f>IFERROR(__xludf.DUMMYFUNCTION("""COMPUTED_VALUE""")," মেহেরপুর""")</f>
        <v> মেহেরপুর"</v>
      </c>
    </row>
    <row r="62" ht="15.75" customHeight="1">
      <c r="A62" s="1" t="str">
        <f>IFERROR(__xludf.DUMMYFUNCTION("SPLIT(raw!A62, "","")"),741.0)</f>
        <v>741</v>
      </c>
      <c r="B62" s="2" t="str">
        <f>IFERROR(__xludf.DUMMYFUNCTION("""COMPUTED_VALUE"""),"মোঃ পলাশ আলী")</f>
        <v>মোঃ পলাশ আলী</v>
      </c>
      <c r="C62" s="2" t="str">
        <f>IFERROR(__xludf.DUMMYFUNCTION("""COMPUTED_VALUE"""),5.7005600043E11)</f>
        <v>570056000430</v>
      </c>
      <c r="D62" s="2" t="str">
        <f>IFERROR(__xludf.DUMMYFUNCTION("""COMPUTED_VALUE"""),"আনারুল")</f>
        <v>আনারুল</v>
      </c>
      <c r="E62" s="2" t="str">
        <f>IFERROR(__xludf.DUMMYFUNCTION("""COMPUTED_VALUE"""),"সকিরন নেছা")</f>
        <v>সকিরন নেছা</v>
      </c>
      <c r="F62" s="2" t="str">
        <f>IFERROR(__xludf.DUMMYFUNCTION("""COMPUTED_VALUE"""),"ছাত্র/ছাত্রী")</f>
        <v>ছাত্র/ছাত্রী</v>
      </c>
      <c r="G62" s="2" t="str">
        <f>IFERROR(__xludf.DUMMYFUNCTION("""COMPUTED_VALUE"""),"২৪/০৫/২০০৩")</f>
        <v>২৪/০৫/২০০৩</v>
      </c>
      <c r="H62" s="2" t="str">
        <f>IFERROR(__xludf.DUMMYFUNCTION("""COMPUTED_VALUE"""),"""জালশুকা")</f>
        <v>"জালশুকা</v>
      </c>
      <c r="I62" s="2" t="str">
        <f>IFERROR(__xludf.DUMMYFUNCTION("""COMPUTED_VALUE""")," গাংনী")</f>
        <v> গাংনী</v>
      </c>
      <c r="J62" s="2" t="str">
        <f>IFERROR(__xludf.DUMMYFUNCTION("""COMPUTED_VALUE""")," মেহেরপুর""")</f>
        <v> মেহেরপুর"</v>
      </c>
    </row>
    <row r="63" ht="15.75" customHeight="1">
      <c r="A63" s="1" t="str">
        <f>IFERROR(__xludf.DUMMYFUNCTION("SPLIT(raw!A63, "","")"),742.0)</f>
        <v>742</v>
      </c>
      <c r="B63" s="2" t="str">
        <f>IFERROR(__xludf.DUMMYFUNCTION("""COMPUTED_VALUE"""),"মোঃ ইমরান আলি")</f>
        <v>মোঃ ইমরান আলি</v>
      </c>
      <c r="C63" s="2" t="str">
        <f>IFERROR(__xludf.DUMMYFUNCTION("""COMPUTED_VALUE"""),5.70056000431E11)</f>
        <v>570056000431</v>
      </c>
      <c r="D63" s="2" t="str">
        <f>IFERROR(__xludf.DUMMYFUNCTION("""COMPUTED_VALUE"""),"মোহাঃ নওশাদ")</f>
        <v>মোহাঃ নওশাদ</v>
      </c>
      <c r="E63" s="2" t="str">
        <f>IFERROR(__xludf.DUMMYFUNCTION("""COMPUTED_VALUE"""),"মোছাঃ নাজিরা খাতুন")</f>
        <v>মোছাঃ নাজিরা খাতুন</v>
      </c>
      <c r="F63" s="2" t="str">
        <f>IFERROR(__xludf.DUMMYFUNCTION("""COMPUTED_VALUE"""),"কৃষক")</f>
        <v>কৃষক</v>
      </c>
      <c r="G63" s="2" t="str">
        <f>IFERROR(__xludf.DUMMYFUNCTION("""COMPUTED_VALUE"""),"০১/০৩/২০০৩")</f>
        <v>০১/০৩/২০০৩</v>
      </c>
      <c r="H63" s="2" t="str">
        <f>IFERROR(__xludf.DUMMYFUNCTION("""COMPUTED_VALUE"""),"""জালশুকা")</f>
        <v>"জালশুকা</v>
      </c>
      <c r="I63" s="2" t="str">
        <f>IFERROR(__xludf.DUMMYFUNCTION("""COMPUTED_VALUE""")," গাংনী")</f>
        <v> গাংনী</v>
      </c>
      <c r="J63" s="2" t="str">
        <f>IFERROR(__xludf.DUMMYFUNCTION("""COMPUTED_VALUE""")," মেহেরপুর""")</f>
        <v> মেহেরপুর"</v>
      </c>
    </row>
    <row r="64" ht="15.75" customHeight="1">
      <c r="A64" s="1" t="str">
        <f>IFERROR(__xludf.DUMMYFUNCTION("SPLIT(raw!A64, "","")"),743.0)</f>
        <v>743</v>
      </c>
      <c r="B64" s="2" t="str">
        <f>IFERROR(__xludf.DUMMYFUNCTION("""COMPUTED_VALUE"""),"মোঃ মিলন আলি")</f>
        <v>মোঃ মিলন আলি</v>
      </c>
      <c r="C64" s="2" t="str">
        <f>IFERROR(__xludf.DUMMYFUNCTION("""COMPUTED_VALUE"""),5.70056000437E11)</f>
        <v>570056000437</v>
      </c>
      <c r="D64" s="2" t="str">
        <f>IFERROR(__xludf.DUMMYFUNCTION("""COMPUTED_VALUE"""),"মোঃ আব্বাস আলী")</f>
        <v>মোঃ আব্বাস আলী</v>
      </c>
      <c r="E64" s="2" t="str">
        <f>IFERROR(__xludf.DUMMYFUNCTION("""COMPUTED_VALUE"""),"মোছাঃ ময়না খাতুন")</f>
        <v>মোছাঃ ময়না খাতুন</v>
      </c>
      <c r="F64" s="2" t="str">
        <f>IFERROR(__xludf.DUMMYFUNCTION("""COMPUTED_VALUE"""),"ছাত্র/ছাত্রী")</f>
        <v>ছাত্র/ছাত্রী</v>
      </c>
      <c r="G64" s="2" t="str">
        <f>IFERROR(__xludf.DUMMYFUNCTION("""COMPUTED_VALUE"""),"০১/০৩/২০০৩")</f>
        <v>০১/০৩/২০০৩</v>
      </c>
      <c r="H64" s="2" t="str">
        <f>IFERROR(__xludf.DUMMYFUNCTION("""COMPUTED_VALUE"""),"""জালশুকা")</f>
        <v>"জালশুকা</v>
      </c>
      <c r="I64" s="2" t="str">
        <f>IFERROR(__xludf.DUMMYFUNCTION("""COMPUTED_VALUE""")," গাংনী")</f>
        <v> গাংনী</v>
      </c>
      <c r="J64" s="2" t="str">
        <f>IFERROR(__xludf.DUMMYFUNCTION("""COMPUTED_VALUE""")," মেহেরপুর""")</f>
        <v> মেহেরপুর"</v>
      </c>
    </row>
    <row r="65" ht="15.75" customHeight="1">
      <c r="A65" s="1" t="str">
        <f>IFERROR(__xludf.DUMMYFUNCTION("SPLIT(raw!A65, "","")"),744.0)</f>
        <v>744</v>
      </c>
      <c r="B65" s="2" t="str">
        <f>IFERROR(__xludf.DUMMYFUNCTION("""COMPUTED_VALUE"""),"মোঃ তোতা আলী")</f>
        <v>মোঃ তোতা আলী</v>
      </c>
      <c r="C65" s="2" t="str">
        <f>IFERROR(__xludf.DUMMYFUNCTION("""COMPUTED_VALUE"""),5.70056000439E11)</f>
        <v>570056000439</v>
      </c>
      <c r="D65" s="2" t="str">
        <f>IFERROR(__xludf.DUMMYFUNCTION("""COMPUTED_VALUE"""),"মোঃ জাজাল উদ্দীন")</f>
        <v>মোঃ জাজাল উদ্দীন</v>
      </c>
      <c r="E65" s="2" t="str">
        <f>IFERROR(__xludf.DUMMYFUNCTION("""COMPUTED_VALUE"""),"মোছাঃ রেবেকা খাতুন")</f>
        <v>মোছাঃ রেবেকা খাতুন</v>
      </c>
      <c r="F65" s="2" t="str">
        <f>IFERROR(__xludf.DUMMYFUNCTION("""COMPUTED_VALUE"""),"ছাত্র/ছাত্রী")</f>
        <v>ছাত্র/ছাত্রী</v>
      </c>
      <c r="G65" s="2" t="str">
        <f>IFERROR(__xludf.DUMMYFUNCTION("""COMPUTED_VALUE"""),"০৩/০১/২০০২")</f>
        <v>০৩/০১/২০০২</v>
      </c>
      <c r="H65" s="2" t="str">
        <f>IFERROR(__xludf.DUMMYFUNCTION("""COMPUTED_VALUE"""),"""জালশুকা")</f>
        <v>"জালশুকা</v>
      </c>
      <c r="I65" s="2" t="str">
        <f>IFERROR(__xludf.DUMMYFUNCTION("""COMPUTED_VALUE""")," গাংনী")</f>
        <v> গাংনী</v>
      </c>
      <c r="J65" s="2" t="str">
        <f>IFERROR(__xludf.DUMMYFUNCTION("""COMPUTED_VALUE""")," মেহেরপুর""")</f>
        <v> মেহেরপুর"</v>
      </c>
    </row>
    <row r="66" ht="15.75" customHeight="1">
      <c r="A66" s="1" t="str">
        <f>IFERROR(__xludf.DUMMYFUNCTION("SPLIT(raw!A66, "","")"),745.0)</f>
        <v>745</v>
      </c>
      <c r="B66" s="2" t="str">
        <f>IFERROR(__xludf.DUMMYFUNCTION("""COMPUTED_VALUE"""),"মোঃ আসাদ")</f>
        <v>মোঃ আসাদ</v>
      </c>
      <c r="C66" s="2" t="str">
        <f>IFERROR(__xludf.DUMMYFUNCTION("""COMPUTED_VALUE"""),5.7005600044E11)</f>
        <v>570056000440</v>
      </c>
      <c r="D66" s="2" t="str">
        <f>IFERROR(__xludf.DUMMYFUNCTION("""COMPUTED_VALUE"""),"মোঃ মেহের আলী")</f>
        <v>মোঃ মেহের আলী</v>
      </c>
      <c r="E66" s="2" t="str">
        <f>IFERROR(__xludf.DUMMYFUNCTION("""COMPUTED_VALUE"""),"মোছাঃ নাসিমা খাতুন")</f>
        <v>মোছাঃ নাসিমা খাতুন</v>
      </c>
      <c r="F66" s="2" t="str">
        <f>IFERROR(__xludf.DUMMYFUNCTION("""COMPUTED_VALUE"""),"কৃষক")</f>
        <v>কৃষক</v>
      </c>
      <c r="G66" s="2" t="str">
        <f>IFERROR(__xludf.DUMMYFUNCTION("""COMPUTED_VALUE"""),"৩০/১০/১৯৯৬")</f>
        <v>৩০/১০/১৯৯৬</v>
      </c>
      <c r="H66" s="2" t="str">
        <f>IFERROR(__xludf.DUMMYFUNCTION("""COMPUTED_VALUE"""),"""জালশুকা")</f>
        <v>"জালশুকা</v>
      </c>
      <c r="I66" s="2" t="str">
        <f>IFERROR(__xludf.DUMMYFUNCTION("""COMPUTED_VALUE""")," গাংনী")</f>
        <v> গাংনী</v>
      </c>
      <c r="J66" s="2" t="str">
        <f>IFERROR(__xludf.DUMMYFUNCTION("""COMPUTED_VALUE""")," মেহেরপুর""")</f>
        <v> মেহেরপুর"</v>
      </c>
    </row>
    <row r="67" ht="15.75" customHeight="1">
      <c r="A67" s="1" t="str">
        <f>IFERROR(__xludf.DUMMYFUNCTION("SPLIT(raw!A67, "","")"),746.0)</f>
        <v>746</v>
      </c>
      <c r="B67" s="2" t="str">
        <f>IFERROR(__xludf.DUMMYFUNCTION("""COMPUTED_VALUE"""),"মোঃ নিসান আলী")</f>
        <v>মোঃ নিসান আলী</v>
      </c>
      <c r="C67" s="2" t="str">
        <f>IFERROR(__xludf.DUMMYFUNCTION("""COMPUTED_VALUE"""),5.70056000441E11)</f>
        <v>570056000441</v>
      </c>
      <c r="D67" s="2" t="str">
        <f>IFERROR(__xludf.DUMMYFUNCTION("""COMPUTED_VALUE"""),"মোঃ জামিরুল ইসলাম")</f>
        <v>মোঃ জামিরুল ইসলাম</v>
      </c>
      <c r="E67" s="2" t="str">
        <f>IFERROR(__xludf.DUMMYFUNCTION("""COMPUTED_VALUE"""),"মোছাঃ তাসলিমা খাতুন")</f>
        <v>মোছাঃ তাসলিমা খাতুন</v>
      </c>
      <c r="F67" s="2" t="str">
        <f>IFERROR(__xludf.DUMMYFUNCTION("""COMPUTED_VALUE"""),"ছাত্র/ছাত্রী")</f>
        <v>ছাত্র/ছাত্রী</v>
      </c>
      <c r="G67" s="2" t="str">
        <f>IFERROR(__xludf.DUMMYFUNCTION("""COMPUTED_VALUE"""),"০১/০১/২০০০")</f>
        <v>০১/০১/২০০০</v>
      </c>
      <c r="H67" s="2" t="str">
        <f>IFERROR(__xludf.DUMMYFUNCTION("""COMPUTED_VALUE"""),"""জালশুকা")</f>
        <v>"জালশুকা</v>
      </c>
      <c r="I67" s="2" t="str">
        <f>IFERROR(__xludf.DUMMYFUNCTION("""COMPUTED_VALUE""")," গাংনী")</f>
        <v> গাংনী</v>
      </c>
      <c r="J67" s="2" t="str">
        <f>IFERROR(__xludf.DUMMYFUNCTION("""COMPUTED_VALUE""")," মেহেরপুর""")</f>
        <v> মেহেরপুর"</v>
      </c>
    </row>
    <row r="68" ht="15.75" customHeight="1">
      <c r="A68" s="1" t="str">
        <f>IFERROR(__xludf.DUMMYFUNCTION("SPLIT(raw!A68, "","")"),747.0)</f>
        <v>747</v>
      </c>
      <c r="B68" s="2" t="str">
        <f>IFERROR(__xludf.DUMMYFUNCTION("""COMPUTED_VALUE"""),"মোঃ লিখন আলি")</f>
        <v>মোঃ লিখন আলি</v>
      </c>
      <c r="C68" s="2" t="str">
        <f>IFERROR(__xludf.DUMMYFUNCTION("""COMPUTED_VALUE"""),5.70056000443E11)</f>
        <v>570056000443</v>
      </c>
      <c r="D68" s="2" t="str">
        <f>IFERROR(__xludf.DUMMYFUNCTION("""COMPUTED_VALUE"""),"মোঃ নজরুল ইসলাম")</f>
        <v>মোঃ নজরুল ইসলাম</v>
      </c>
      <c r="E68" s="2" t="str">
        <f>IFERROR(__xludf.DUMMYFUNCTION("""COMPUTED_VALUE"""),"মোছাঃ ফিরোজা খাতুন")</f>
        <v>মোছাঃ ফিরোজা খাতুন</v>
      </c>
      <c r="F68" s="2" t="str">
        <f>IFERROR(__xludf.DUMMYFUNCTION("""COMPUTED_VALUE"""),"ছাত্র/ছাত্রী")</f>
        <v>ছাত্র/ছাত্রী</v>
      </c>
      <c r="G68" s="2" t="str">
        <f>IFERROR(__xludf.DUMMYFUNCTION("""COMPUTED_VALUE"""),"০১/০১/২০০২")</f>
        <v>০১/০১/২০০২</v>
      </c>
      <c r="H68" s="2" t="str">
        <f>IFERROR(__xludf.DUMMYFUNCTION("""COMPUTED_VALUE"""),"""জালশুকা")</f>
        <v>"জালশুকা</v>
      </c>
      <c r="I68" s="2" t="str">
        <f>IFERROR(__xludf.DUMMYFUNCTION("""COMPUTED_VALUE""")," গাংনী")</f>
        <v> গাংনী</v>
      </c>
      <c r="J68" s="2" t="str">
        <f>IFERROR(__xludf.DUMMYFUNCTION("""COMPUTED_VALUE""")," মেহেরপুর""")</f>
        <v> মেহেরপুর"</v>
      </c>
    </row>
    <row r="69" ht="15.75" customHeight="1">
      <c r="A69" s="1" t="str">
        <f>IFERROR(__xludf.DUMMYFUNCTION("SPLIT(raw!A69, "","")"),748.0)</f>
        <v>748</v>
      </c>
      <c r="B69" s="2" t="str">
        <f>IFERROR(__xludf.DUMMYFUNCTION("""COMPUTED_VALUE"""),"মোঃ হুসাইন আলী")</f>
        <v>মোঃ হুসাইন আলী</v>
      </c>
      <c r="C69" s="2" t="str">
        <f>IFERROR(__xludf.DUMMYFUNCTION("""COMPUTED_VALUE"""),5.70056000446E11)</f>
        <v>570056000446</v>
      </c>
      <c r="D69" s="2" t="str">
        <f>IFERROR(__xludf.DUMMYFUNCTION("""COMPUTED_VALUE"""),"আব্দুর রাজ্জাক")</f>
        <v>আব্দুর রাজ্জাক</v>
      </c>
      <c r="E69" s="2" t="str">
        <f>IFERROR(__xludf.DUMMYFUNCTION("""COMPUTED_VALUE"""),"মোছাঃ নাজিরা খাতুন")</f>
        <v>মোছাঃ নাজিরা খাতুন</v>
      </c>
      <c r="F69" s="2" t="str">
        <f>IFERROR(__xludf.DUMMYFUNCTION("""COMPUTED_VALUE"""),"ছাত্র/ছাত্রী")</f>
        <v>ছাত্র/ছাত্রী</v>
      </c>
      <c r="G69" s="2" t="str">
        <f>IFERROR(__xludf.DUMMYFUNCTION("""COMPUTED_VALUE"""),"১৭/১২/২০০১")</f>
        <v>১৭/১২/২০০১</v>
      </c>
      <c r="H69" s="2" t="str">
        <f>IFERROR(__xludf.DUMMYFUNCTION("""COMPUTED_VALUE"""),"""জালশুকা")</f>
        <v>"জালশুকা</v>
      </c>
      <c r="I69" s="2" t="str">
        <f>IFERROR(__xludf.DUMMYFUNCTION("""COMPUTED_VALUE""")," গাংনী")</f>
        <v> গাংনী</v>
      </c>
      <c r="J69" s="2" t="str">
        <f>IFERROR(__xludf.DUMMYFUNCTION("""COMPUTED_VALUE""")," মেহেরপুর""")</f>
        <v> মেহেরপুর"</v>
      </c>
    </row>
    <row r="70" ht="15.75" customHeight="1">
      <c r="A70" s="1" t="str">
        <f>IFERROR(__xludf.DUMMYFUNCTION("SPLIT(raw!A70, "","")"),749.0)</f>
        <v>749</v>
      </c>
      <c r="B70" s="2" t="str">
        <f>IFERROR(__xludf.DUMMYFUNCTION("""COMPUTED_VALUE"""),"মোঃ মারিজুল ইসলাম")</f>
        <v>মোঃ মারিজুল ইসলাম</v>
      </c>
      <c r="C70" s="2" t="str">
        <f>IFERROR(__xludf.DUMMYFUNCTION("""COMPUTED_VALUE"""),5.70056000447E11)</f>
        <v>570056000447</v>
      </c>
      <c r="D70" s="2" t="str">
        <f>IFERROR(__xludf.DUMMYFUNCTION("""COMPUTED_VALUE"""),"মোঃ আসাদুল হক")</f>
        <v>মোঃ আসাদুল হক</v>
      </c>
      <c r="E70" s="2" t="str">
        <f>IFERROR(__xludf.DUMMYFUNCTION("""COMPUTED_VALUE"""),"মোছাঃ কামরুন্নাহার")</f>
        <v>মোছাঃ কামরুন্নাহার</v>
      </c>
      <c r="F70" s="2" t="str">
        <f>IFERROR(__xludf.DUMMYFUNCTION("""COMPUTED_VALUE"""),"ছাত্র/ছাত্রী")</f>
        <v>ছাত্র/ছাত্রী</v>
      </c>
      <c r="G70" s="2" t="str">
        <f>IFERROR(__xludf.DUMMYFUNCTION("""COMPUTED_VALUE"""),"০১/১০/২০০১")</f>
        <v>০১/১০/২০০১</v>
      </c>
      <c r="H70" s="2" t="str">
        <f>IFERROR(__xludf.DUMMYFUNCTION("""COMPUTED_VALUE"""),"""জালশুকা")</f>
        <v>"জালশুকা</v>
      </c>
      <c r="I70" s="2" t="str">
        <f>IFERROR(__xludf.DUMMYFUNCTION("""COMPUTED_VALUE""")," গাংনী")</f>
        <v> গাংনী</v>
      </c>
      <c r="J70" s="2" t="str">
        <f>IFERROR(__xludf.DUMMYFUNCTION("""COMPUTED_VALUE""")," মেহেরপুর""")</f>
        <v> মেহেরপুর"</v>
      </c>
    </row>
    <row r="71" ht="15.75" customHeight="1">
      <c r="A71" s="1" t="str">
        <f>IFERROR(__xludf.DUMMYFUNCTION("SPLIT(raw!A71, "","")"),750.0)</f>
        <v>750</v>
      </c>
      <c r="B71" s="2" t="str">
        <f>IFERROR(__xludf.DUMMYFUNCTION("""COMPUTED_VALUE"""),"মোঃ হৃদয় হোসেন")</f>
        <v>মোঃ হৃদয় হোসেন</v>
      </c>
      <c r="C71" s="2" t="str">
        <f>IFERROR(__xludf.DUMMYFUNCTION("""COMPUTED_VALUE"""),5.70056000452E11)</f>
        <v>570056000452</v>
      </c>
      <c r="D71" s="2" t="str">
        <f>IFERROR(__xludf.DUMMYFUNCTION("""COMPUTED_VALUE"""),"মোঃ জিয়াউর রহমান")</f>
        <v>মোঃ জিয়াউর রহমান</v>
      </c>
      <c r="E71" s="2" t="str">
        <f>IFERROR(__xludf.DUMMYFUNCTION("""COMPUTED_VALUE"""),"মোছাঃ বেদেনা খাতুন")</f>
        <v>মোছাঃ বেদেনা খাতুন</v>
      </c>
      <c r="F71" s="2" t="str">
        <f>IFERROR(__xludf.DUMMYFUNCTION("""COMPUTED_VALUE"""),"ছাত্র/ছাত্রী")</f>
        <v>ছাত্র/ছাত্রী</v>
      </c>
      <c r="G71" s="2" t="str">
        <f>IFERROR(__xludf.DUMMYFUNCTION("""COMPUTED_VALUE"""),"২৭/১০/১৯৯৮")</f>
        <v>২৭/১০/১৯৯৮</v>
      </c>
      <c r="H71" s="2" t="str">
        <f>IFERROR(__xludf.DUMMYFUNCTION("""COMPUTED_VALUE"""),"""জালশুকা")</f>
        <v>"জালশুকা</v>
      </c>
      <c r="I71" s="2" t="str">
        <f>IFERROR(__xludf.DUMMYFUNCTION("""COMPUTED_VALUE""")," গাংনী")</f>
        <v> গাংনী</v>
      </c>
      <c r="J71" s="2" t="str">
        <f>IFERROR(__xludf.DUMMYFUNCTION("""COMPUTED_VALUE""")," মেহেরপুর""")</f>
        <v> মেহেরপুর"</v>
      </c>
    </row>
    <row r="72" ht="15.75" customHeight="1">
      <c r="A72" s="1" t="str">
        <f>IFERROR(__xludf.DUMMYFUNCTION("SPLIT(raw!A72, "","")"),751.0)</f>
        <v>751</v>
      </c>
      <c r="B72" s="2" t="str">
        <f>IFERROR(__xludf.DUMMYFUNCTION("""COMPUTED_VALUE"""),"মোঃ বকুল আহমেদ")</f>
        <v>মোঃ বকুল আহমেদ</v>
      </c>
      <c r="C72" s="2" t="str">
        <f>IFERROR(__xludf.DUMMYFUNCTION("""COMPUTED_VALUE"""),5.70056000454E11)</f>
        <v>570056000454</v>
      </c>
      <c r="D72" s="2" t="str">
        <f>IFERROR(__xludf.DUMMYFUNCTION("""COMPUTED_VALUE"""),"মোঃ আহাদ আলী")</f>
        <v>মোঃ আহাদ আলী</v>
      </c>
      <c r="E72" s="2" t="str">
        <f>IFERROR(__xludf.DUMMYFUNCTION("""COMPUTED_VALUE"""),"জহুরা খাতুন")</f>
        <v>জহুরা খাতুন</v>
      </c>
      <c r="F72" s="2" t="str">
        <f>IFERROR(__xludf.DUMMYFUNCTION("""COMPUTED_VALUE"""),"ছাত্র/ছাত্রী")</f>
        <v>ছাত্র/ছাত্রী</v>
      </c>
      <c r="G72" s="2" t="str">
        <f>IFERROR(__xludf.DUMMYFUNCTION("""COMPUTED_VALUE"""),"২০/১১/১৯৯?")</f>
        <v>২০/১১/১৯৯?</v>
      </c>
      <c r="H72" s="2" t="str">
        <f>IFERROR(__xludf.DUMMYFUNCTION("""COMPUTED_VALUE"""),"""জালশুকা")</f>
        <v>"জালশুকা</v>
      </c>
      <c r="I72" s="2" t="str">
        <f>IFERROR(__xludf.DUMMYFUNCTION("""COMPUTED_VALUE""")," গাংনী")</f>
        <v> গাংনী</v>
      </c>
      <c r="J72" s="2" t="str">
        <f>IFERROR(__xludf.DUMMYFUNCTION("""COMPUTED_VALUE""")," মেহেরপুর""")</f>
        <v> মেহেরপুর"</v>
      </c>
    </row>
    <row r="73" ht="15.75" customHeight="1">
      <c r="A73" s="1" t="str">
        <f>IFERROR(__xludf.DUMMYFUNCTION("SPLIT(raw!A73, "","")"),752.0)</f>
        <v>752</v>
      </c>
      <c r="B73" s="2" t="str">
        <f>IFERROR(__xludf.DUMMYFUNCTION("""COMPUTED_VALUE"""),"মোঃ স্বপন আলী")</f>
        <v>মোঃ স্বপন আলী</v>
      </c>
      <c r="C73" s="2" t="str">
        <f>IFERROR(__xludf.DUMMYFUNCTION("""COMPUTED_VALUE"""),5.70056000455E11)</f>
        <v>570056000455</v>
      </c>
      <c r="D73" s="2" t="str">
        <f>IFERROR(__xludf.DUMMYFUNCTION("""COMPUTED_VALUE"""),"মোঃ রেজাউল হক")</f>
        <v>মোঃ রেজাউল হক</v>
      </c>
      <c r="E73" s="2" t="str">
        <f>IFERROR(__xludf.DUMMYFUNCTION("""COMPUTED_VALUE"""),"মৃত হালিমা খাতুন")</f>
        <v>মৃত হালিমা খাতুন</v>
      </c>
      <c r="F73" s="2" t="str">
        <f>IFERROR(__xludf.DUMMYFUNCTION("""COMPUTED_VALUE"""),"কৃষক")</f>
        <v>কৃষক</v>
      </c>
      <c r="G73" s="2" t="str">
        <f>IFERROR(__xludf.DUMMYFUNCTION("""COMPUTED_VALUE"""),"০৯/১২/১৯৮৮")</f>
        <v>০৯/১২/১৯৮৮</v>
      </c>
      <c r="H73" s="2" t="str">
        <f>IFERROR(__xludf.DUMMYFUNCTION("""COMPUTED_VALUE"""),"""জালশুকা")</f>
        <v>"জালশুকা</v>
      </c>
      <c r="I73" s="2" t="str">
        <f>IFERROR(__xludf.DUMMYFUNCTION("""COMPUTED_VALUE""")," গাংনী")</f>
        <v> গাংনী</v>
      </c>
      <c r="J73" s="2" t="str">
        <f>IFERROR(__xludf.DUMMYFUNCTION("""COMPUTED_VALUE""")," মেহেরপুর""")</f>
        <v> মেহেরপুর"</v>
      </c>
    </row>
    <row r="74" ht="15.75" customHeight="1">
      <c r="A74" s="1" t="str">
        <f>IFERROR(__xludf.DUMMYFUNCTION("SPLIT(raw!A74, "","")"),753.0)</f>
        <v>753</v>
      </c>
      <c r="B74" s="2" t="str">
        <f>IFERROR(__xludf.DUMMYFUNCTION("""COMPUTED_VALUE"""),"মোঃ সেরেফুল")</f>
        <v>মোঃ সেরেফুল</v>
      </c>
      <c r="C74" s="2" t="str">
        <f>IFERROR(__xludf.DUMMYFUNCTION("""COMPUTED_VALUE"""),5.70056000456E11)</f>
        <v>570056000456</v>
      </c>
      <c r="D74" s="2" t="str">
        <f>IFERROR(__xludf.DUMMYFUNCTION("""COMPUTED_VALUE"""),"মোঃ নুজির আলী")</f>
        <v>মোঃ নুজির আলী</v>
      </c>
      <c r="E74" s="2" t="str">
        <f>IFERROR(__xludf.DUMMYFUNCTION("""COMPUTED_VALUE"""),"মোছাঃ ফাতেমা খাতুন")</f>
        <v>মোছাঃ ফাতেমা খাতুন</v>
      </c>
      <c r="F74" s="2" t="str">
        <f>IFERROR(__xludf.DUMMYFUNCTION("""COMPUTED_VALUE"""),"ছাত্র/ছাত্রী")</f>
        <v>ছাত্র/ছাত্রী</v>
      </c>
      <c r="G74" s="2" t="str">
        <f>IFERROR(__xludf.DUMMYFUNCTION("""COMPUTED_VALUE"""),"০১/০১/২০০২")</f>
        <v>০১/০১/২০০২</v>
      </c>
      <c r="H74" s="2" t="str">
        <f>IFERROR(__xludf.DUMMYFUNCTION("""COMPUTED_VALUE"""),"""জালশুকা")</f>
        <v>"জালশুকা</v>
      </c>
      <c r="I74" s="2" t="str">
        <f>IFERROR(__xludf.DUMMYFUNCTION("""COMPUTED_VALUE""")," গাংনী")</f>
        <v> গাংনী</v>
      </c>
      <c r="J74" s="2" t="str">
        <f>IFERROR(__xludf.DUMMYFUNCTION("""COMPUTED_VALUE""")," মেহেরপুর""")</f>
        <v> মেহেরপুর"</v>
      </c>
    </row>
    <row r="75" ht="15.75" customHeight="1">
      <c r="A75" s="1" t="str">
        <f>IFERROR(__xludf.DUMMYFUNCTION("SPLIT(raw!A75, "","")"),"#VALUE!")</f>
        <v>#VALUE!</v>
      </c>
    </row>
    <row r="76" ht="15.75" customHeight="1">
      <c r="A76" s="1" t="str">
        <f>IFERROR(__xludf.DUMMYFUNCTION("SPLIT(raw!A76, "","")"),"#VALUE!")</f>
        <v>#VALUE!</v>
      </c>
    </row>
    <row r="77" ht="15.75" customHeight="1">
      <c r="A77" s="1" t="str">
        <f>IFERROR(__xludf.DUMMYFUNCTION("SPLIT(raw!A77, "","")"),"#VALUE!")</f>
        <v>#VALUE!</v>
      </c>
    </row>
    <row r="78" ht="15.75" customHeight="1">
      <c r="A78" s="1" t="str">
        <f>IFERROR(__xludf.DUMMYFUNCTION("SPLIT(raw!A78, "","")"),"#VALUE!")</f>
        <v>#VALUE!</v>
      </c>
    </row>
    <row r="79" ht="15.75" customHeight="1">
      <c r="A79" s="1" t="str">
        <f>IFERROR(__xludf.DUMMYFUNCTION("SPLIT(raw!A79, "","")"),"#VALUE!")</f>
        <v>#VALUE!</v>
      </c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1" width="12.57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2" t="s">
        <v>7</v>
      </c>
    </row>
    <row r="9">
      <c r="A9" s="2" t="s">
        <v>8</v>
      </c>
    </row>
    <row r="10">
      <c r="A10" s="2" t="s">
        <v>9</v>
      </c>
    </row>
    <row r="11">
      <c r="A11" s="2" t="s">
        <v>10</v>
      </c>
    </row>
    <row r="12">
      <c r="A12" s="2" t="s">
        <v>11</v>
      </c>
    </row>
    <row r="13">
      <c r="A13" s="2" t="s">
        <v>12</v>
      </c>
    </row>
    <row r="14">
      <c r="A14" s="2" t="s">
        <v>13</v>
      </c>
    </row>
    <row r="15">
      <c r="A15" s="2" t="s">
        <v>14</v>
      </c>
    </row>
    <row r="16">
      <c r="A16" s="2" t="s">
        <v>15</v>
      </c>
    </row>
    <row r="17">
      <c r="A17" s="2" t="s">
        <v>16</v>
      </c>
    </row>
    <row r="18">
      <c r="A18" s="2" t="s">
        <v>17</v>
      </c>
    </row>
    <row r="19">
      <c r="A19" s="2" t="s">
        <v>18</v>
      </c>
    </row>
    <row r="20">
      <c r="A20" s="2" t="s">
        <v>19</v>
      </c>
    </row>
    <row r="21" ht="15.75" customHeight="1">
      <c r="A21" s="2" t="s">
        <v>20</v>
      </c>
    </row>
    <row r="22" ht="15.75" customHeight="1">
      <c r="A22" s="2" t="s">
        <v>21</v>
      </c>
    </row>
    <row r="23" ht="15.75" customHeight="1">
      <c r="A23" s="2" t="s">
        <v>22</v>
      </c>
    </row>
    <row r="24" ht="15.75" customHeight="1">
      <c r="A24" s="2" t="s">
        <v>23</v>
      </c>
    </row>
    <row r="25" ht="15.75" customHeight="1">
      <c r="A25" s="2" t="s">
        <v>24</v>
      </c>
    </row>
    <row r="26" ht="15.75" customHeight="1">
      <c r="A26" s="2" t="s">
        <v>25</v>
      </c>
    </row>
    <row r="27" ht="15.75" customHeight="1">
      <c r="A27" s="2" t="s">
        <v>26</v>
      </c>
    </row>
    <row r="28" ht="15.75" customHeight="1">
      <c r="A28" s="2" t="s">
        <v>27</v>
      </c>
    </row>
    <row r="29" ht="15.75" customHeight="1">
      <c r="A29" s="2" t="s">
        <v>28</v>
      </c>
    </row>
    <row r="30" ht="15.75" customHeight="1">
      <c r="A30" s="2" t="s">
        <v>29</v>
      </c>
    </row>
    <row r="31" ht="15.75" customHeight="1">
      <c r="A31" s="2" t="s">
        <v>30</v>
      </c>
    </row>
    <row r="32" ht="15.75" customHeight="1">
      <c r="A32" s="2" t="s">
        <v>31</v>
      </c>
    </row>
    <row r="33" ht="15.75" customHeight="1">
      <c r="A33" s="2" t="s">
        <v>32</v>
      </c>
    </row>
    <row r="34" ht="15.75" customHeight="1">
      <c r="A34" s="2" t="s">
        <v>33</v>
      </c>
    </row>
    <row r="35" ht="15.75" customHeight="1">
      <c r="A35" s="2" t="s">
        <v>34</v>
      </c>
    </row>
    <row r="36" ht="15.75" customHeight="1">
      <c r="A36" s="2" t="s">
        <v>35</v>
      </c>
    </row>
    <row r="37" ht="15.75" customHeight="1">
      <c r="A37" s="2" t="s">
        <v>36</v>
      </c>
    </row>
    <row r="38" ht="15.75" customHeight="1">
      <c r="A38" s="2" t="s">
        <v>37</v>
      </c>
    </row>
    <row r="39" ht="15.75" customHeight="1">
      <c r="A39" s="2" t="s">
        <v>38</v>
      </c>
    </row>
    <row r="40" ht="15.75" customHeight="1">
      <c r="A40" s="2" t="s">
        <v>39</v>
      </c>
    </row>
    <row r="41" ht="15.75" customHeight="1">
      <c r="A41" s="2" t="s">
        <v>40</v>
      </c>
    </row>
    <row r="42" ht="15.75" customHeight="1">
      <c r="A42" s="2" t="s">
        <v>41</v>
      </c>
    </row>
    <row r="43" ht="15.75" customHeight="1">
      <c r="A43" s="2" t="s">
        <v>42</v>
      </c>
    </row>
    <row r="44" ht="15.75" customHeight="1">
      <c r="A44" s="2" t="s">
        <v>43</v>
      </c>
    </row>
    <row r="45" ht="15.75" customHeight="1">
      <c r="A45" s="2" t="s">
        <v>44</v>
      </c>
    </row>
    <row r="46" ht="15.75" customHeight="1">
      <c r="A46" s="2" t="s">
        <v>45</v>
      </c>
    </row>
    <row r="47" ht="15.75" customHeight="1">
      <c r="A47" s="2" t="s">
        <v>46</v>
      </c>
    </row>
    <row r="48" ht="15.75" customHeight="1">
      <c r="A48" s="2" t="s">
        <v>47</v>
      </c>
    </row>
    <row r="49" ht="15.75" customHeight="1">
      <c r="A49" s="2" t="s">
        <v>48</v>
      </c>
    </row>
    <row r="50" ht="15.75" customHeight="1">
      <c r="A50" s="2" t="s">
        <v>49</v>
      </c>
    </row>
    <row r="51" ht="15.75" customHeight="1">
      <c r="A51" s="2" t="s">
        <v>50</v>
      </c>
    </row>
    <row r="52" ht="15.75" customHeight="1">
      <c r="A52" s="2" t="s">
        <v>51</v>
      </c>
    </row>
    <row r="53" ht="15.75" customHeight="1">
      <c r="A53" s="2" t="s">
        <v>52</v>
      </c>
    </row>
    <row r="54" ht="15.75" customHeight="1">
      <c r="A54" s="2" t="s">
        <v>53</v>
      </c>
    </row>
    <row r="55" ht="15.75" customHeight="1">
      <c r="A55" s="2" t="s">
        <v>54</v>
      </c>
    </row>
    <row r="56" ht="15.75" customHeight="1">
      <c r="A56" s="2" t="s">
        <v>55</v>
      </c>
    </row>
    <row r="57" ht="15.75" customHeight="1">
      <c r="A57" s="2" t="s">
        <v>56</v>
      </c>
    </row>
    <row r="58" ht="15.75" customHeight="1">
      <c r="A58" s="2" t="s">
        <v>57</v>
      </c>
    </row>
    <row r="59" ht="15.75" customHeight="1">
      <c r="A59" s="2" t="s">
        <v>58</v>
      </c>
    </row>
    <row r="60" ht="15.75" customHeight="1">
      <c r="A60" s="2" t="s">
        <v>59</v>
      </c>
    </row>
    <row r="61" ht="15.75" customHeight="1">
      <c r="A61" s="2" t="s">
        <v>60</v>
      </c>
    </row>
    <row r="62" ht="15.75" customHeight="1">
      <c r="A62" s="2" t="s">
        <v>61</v>
      </c>
    </row>
    <row r="63" ht="15.75" customHeight="1">
      <c r="A63" s="2" t="s">
        <v>62</v>
      </c>
    </row>
    <row r="64" ht="15.75" customHeight="1">
      <c r="A64" s="2" t="s">
        <v>63</v>
      </c>
    </row>
    <row r="65" ht="15.75" customHeight="1">
      <c r="A65" s="2" t="s">
        <v>64</v>
      </c>
    </row>
    <row r="66" ht="15.75" customHeight="1">
      <c r="A66" s="2" t="s">
        <v>65</v>
      </c>
    </row>
    <row r="67" ht="15.75" customHeight="1">
      <c r="A67" s="2" t="s">
        <v>66</v>
      </c>
    </row>
    <row r="68" ht="15.75" customHeight="1">
      <c r="A68" s="2" t="s">
        <v>67</v>
      </c>
    </row>
    <row r="69" ht="15.75" customHeight="1">
      <c r="A69" s="2" t="s">
        <v>68</v>
      </c>
    </row>
    <row r="70" ht="15.75" customHeight="1">
      <c r="A70" s="2" t="s">
        <v>69</v>
      </c>
    </row>
    <row r="71" ht="15.75" customHeight="1">
      <c r="A71" s="2" t="s">
        <v>70</v>
      </c>
    </row>
    <row r="72" ht="15.75" customHeight="1">
      <c r="A72" s="2" t="s">
        <v>71</v>
      </c>
    </row>
    <row r="73" ht="15.75" customHeight="1">
      <c r="A73" s="2" t="s">
        <v>72</v>
      </c>
    </row>
    <row r="74" ht="15.75" customHeight="1">
      <c r="A74" s="2" t="s">
        <v>73</v>
      </c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1" width="12.57"/>
  </cols>
  <sheetData>
    <row r="1">
      <c r="D1" s="1"/>
    </row>
    <row r="2">
      <c r="D2" s="3"/>
    </row>
    <row r="3">
      <c r="A3" s="1"/>
      <c r="B3" s="2" t="s">
        <v>74</v>
      </c>
      <c r="C3" s="4" t="s">
        <v>75</v>
      </c>
    </row>
    <row r="4">
      <c r="A4" s="1"/>
      <c r="B4" s="5" t="str">
        <f>IFERROR(__xludf.DUMMYFUNCTION("IF(COUNTIF(A10:A100, TRUE) &gt; 1, ""√ দিন "", IFERROR(FILTER(B10:B100, A10:A100=TRUE), """"))"),73.0)</f>
        <v>73</v>
      </c>
      <c r="C4" s="4" t="str">
        <f>IFERROR(__xludf.DUMMYFUNCTION("IF(COUNTIF(A10:A100, TRUE) &gt; 1, ""একটিতে √ দিন "", IFERROR(FILTER(C10:C100, A10:A100=TRUE), """"))"),"মোঃ আব্দুল মালেক")</f>
        <v>মোঃ আব্দুল মালেক</v>
      </c>
    </row>
    <row r="5">
      <c r="A5" s="1"/>
      <c r="C5" s="4" t="str">
        <f>IFERROR(__xludf.DUMMYFUNCTION("IF(COUNTIF(A10:A100, TRUE) &gt; 1, ""√ দিন "", IFERROR(FILTER(E10:E100, A10:A100=TRUE), """"))"),"খোদা বক্স")</f>
        <v>খোদা বক্স</v>
      </c>
    </row>
    <row r="6">
      <c r="A6" s="6"/>
      <c r="B6" s="7" t="str">
        <f>RIGHT(C7,3)</f>
        <v>346</v>
      </c>
      <c r="C6" s="4" t="str">
        <f>IFERROR(__xludf.DUMMYFUNCTION("IF(COUNTIF(A10:A100, TRUE) &gt; 1, ""√ দিন "", IFERROR(FILTER(F10:F100, A10:A100=TRUE), """"))"),"মোছাঃ ওকিমন নেছা")</f>
        <v>মোছাঃ ওকিমন নেছা</v>
      </c>
    </row>
    <row r="7">
      <c r="A7" s="8"/>
      <c r="C7" s="4" t="str">
        <f>IFERROR(__xludf.DUMMYFUNCTION("IF(COUNTIF(A10:A100, TRUE) &gt; 1, ""√ দিন "", IFERROR(FILTER(D10:D100, A10:A100=TRUE), """"))"),5.70056377346E11)</f>
        <v>570056377346</v>
      </c>
    </row>
    <row r="8">
      <c r="A8" s="1"/>
      <c r="B8" s="1"/>
      <c r="C8" s="1"/>
      <c r="D8" s="1"/>
    </row>
    <row r="9">
      <c r="A9" s="1"/>
      <c r="B9" s="1" t="str">
        <f>IFERROR(__xludf.DUMMYFUNCTION("SPLIT(raw!A1, "","")"),"ক্রমিক নং")</f>
        <v>ক্রমিক নং</v>
      </c>
      <c r="C9" s="1" t="str">
        <f>IFERROR(__xludf.DUMMYFUNCTION("""COMPUTED_VALUE"""),"নাম")</f>
        <v>নাম</v>
      </c>
      <c r="D9" s="1" t="str">
        <f>IFERROR(__xludf.DUMMYFUNCTION("""COMPUTED_VALUE"""),"ভোটার নং")</f>
        <v>ভোটার নং</v>
      </c>
      <c r="E9" s="2" t="str">
        <f>IFERROR(__xludf.DUMMYFUNCTION("""COMPUTED_VALUE"""),"পিতা")</f>
        <v>পিতা</v>
      </c>
      <c r="F9" s="2" t="str">
        <f>IFERROR(__xludf.DUMMYFUNCTION("""COMPUTED_VALUE"""),"মাতা")</f>
        <v>মাতা</v>
      </c>
      <c r="G9" s="2" t="str">
        <f>IFERROR(__xludf.DUMMYFUNCTION("""COMPUTED_VALUE"""),"পেশা")</f>
        <v>পেশা</v>
      </c>
      <c r="H9" s="2" t="str">
        <f>IFERROR(__xludf.DUMMYFUNCTION("""COMPUTED_VALUE"""),"জন্ম তারিখ")</f>
        <v>জন্ম তারিখ</v>
      </c>
      <c r="I9" s="2" t="str">
        <f>IFERROR(__xludf.DUMMYFUNCTION("""COMPUTED_VALUE"""),"ঠিকানা")</f>
        <v>ঠিকানা</v>
      </c>
    </row>
    <row r="10">
      <c r="A10" s="1" t="b">
        <v>1</v>
      </c>
      <c r="B10" s="1" t="str">
        <f>IFERROR(__xludf.DUMMYFUNCTION("IF(C3="""", """", IFERROR(FILTER(DT!A2:G1000, ISNUMBER(SEARCH(C3, DT!D2:D1000))), ""কোনো তথ্য পাওয়া যায়নি""))"),73.0)</f>
        <v>73</v>
      </c>
      <c r="C10" s="1" t="str">
        <f>IFERROR(__xludf.DUMMYFUNCTION("""COMPUTED_VALUE"""),"মোঃ আব্দুল মালেক")</f>
        <v>মোঃ আব্দুল মালেক</v>
      </c>
      <c r="D10" s="1" t="str">
        <f>IFERROR(__xludf.DUMMYFUNCTION("""COMPUTED_VALUE"""),5.70056377346E11)</f>
        <v>570056377346</v>
      </c>
      <c r="E10" s="2" t="str">
        <f>IFERROR(__xludf.DUMMYFUNCTION("""COMPUTED_VALUE"""),"খোদা বক্স")</f>
        <v>খোদা বক্স</v>
      </c>
      <c r="F10" s="2" t="str">
        <f>IFERROR(__xludf.DUMMYFUNCTION("""COMPUTED_VALUE"""),"মোছাঃ ওকিমন নেছা")</f>
        <v>মোছাঃ ওকিমন নেছা</v>
      </c>
      <c r="G10" s="2" t="str">
        <f>IFERROR(__xludf.DUMMYFUNCTION("""COMPUTED_VALUE"""),"কৃষক")</f>
        <v>কৃষক</v>
      </c>
      <c r="H10" s="2" t="str">
        <f>IFERROR(__xludf.DUMMYFUNCTION("""COMPUTED_VALUE"""),"১৬/১১/১৯৫২")</f>
        <v>১৬/১১/১৯৫২</v>
      </c>
    </row>
    <row r="11">
      <c r="A11" s="1" t="b">
        <v>0</v>
      </c>
      <c r="B11" s="1" t="str">
        <f>IFERROR(__xludf.DUMMYFUNCTION("""COMPUTED_VALUE"""),160.0)</f>
        <v>160</v>
      </c>
      <c r="C11" s="1" t="str">
        <f>IFERROR(__xludf.DUMMYFUNCTION("""COMPUTED_VALUE"""),"মোঃ খবির উদ্দীন")</f>
        <v>মোঃ খবির উদ্দীন</v>
      </c>
      <c r="D11" s="1" t="str">
        <f>IFERROR(__xludf.DUMMYFUNCTION("""COMPUTED_VALUE"""),5.70056378103E11)</f>
        <v>570056378103</v>
      </c>
      <c r="E11" s="2" t="str">
        <f>IFERROR(__xludf.DUMMYFUNCTION("""COMPUTED_VALUE"""),"ওয়াজ বক্স মালিথা")</f>
        <v>ওয়াজ বক্স মালিথা</v>
      </c>
      <c r="F11" s="2" t="str">
        <f>IFERROR(__xludf.DUMMYFUNCTION("""COMPUTED_VALUE"""),"মোছাঃ ইজারন নেছা")</f>
        <v>মোছাঃ ইজারন নেছা</v>
      </c>
      <c r="G11" s="2" t="str">
        <f>IFERROR(__xludf.DUMMYFUNCTION("""COMPUTED_VALUE"""),"কৃষক")</f>
        <v>কৃষক</v>
      </c>
      <c r="H11" s="2" t="str">
        <f>IFERROR(__xludf.DUMMYFUNCTION("""COMPUTED_VALUE"""),"১০/০২/১৯৬১")</f>
        <v>১০/০২/১৯৬১</v>
      </c>
    </row>
    <row r="12">
      <c r="B12" s="2" t="str">
        <f>IFERROR(__xludf.DUMMYFUNCTION("""COMPUTED_VALUE"""),161.0)</f>
        <v>161</v>
      </c>
      <c r="C12" s="2" t="str">
        <f>IFERROR(__xludf.DUMMYFUNCTION("""COMPUTED_VALUE"""),"মোঃ দবির উদ্দিন")</f>
        <v>মোঃ দবির উদ্দিন</v>
      </c>
      <c r="D12" s="2" t="str">
        <f>IFERROR(__xludf.DUMMYFUNCTION("""COMPUTED_VALUE"""),5.70056378104E11)</f>
        <v>570056378104</v>
      </c>
      <c r="E12" s="2" t="str">
        <f>IFERROR(__xludf.DUMMYFUNCTION("""COMPUTED_VALUE"""),"ওয়াজ বক্স মালিথা")</f>
        <v>ওয়াজ বক্স মালিথা</v>
      </c>
      <c r="F12" s="2" t="str">
        <f>IFERROR(__xludf.DUMMYFUNCTION("""COMPUTED_VALUE"""),"মোছাঃ ইজারন নেছা")</f>
        <v>মোছাঃ ইজারন নেছা</v>
      </c>
      <c r="G12" s="2" t="str">
        <f>IFERROR(__xludf.DUMMYFUNCTION("""COMPUTED_VALUE"""),"কৃষক")</f>
        <v>কৃষক</v>
      </c>
      <c r="H12" s="2" t="str">
        <f>IFERROR(__xludf.DUMMYFUNCTION("""COMPUTED_VALUE"""),"২০/০২/১৯৫৯")</f>
        <v>২০/০২/১৯৫৯</v>
      </c>
    </row>
    <row r="13">
      <c r="B13" s="2" t="str">
        <f>IFERROR(__xludf.DUMMYFUNCTION("""COMPUTED_VALUE"""),164.0)</f>
        <v>164</v>
      </c>
      <c r="C13" s="2" t="str">
        <f>IFERROR(__xludf.DUMMYFUNCTION("""COMPUTED_VALUE"""),"মোঃ আশাদুল হক")</f>
        <v>মোঃ আশাদুল হক</v>
      </c>
      <c r="D13" s="2" t="str">
        <f>IFERROR(__xludf.DUMMYFUNCTION("""COMPUTED_VALUE"""),5.7005637811E11)</f>
        <v>570056378110</v>
      </c>
      <c r="E13" s="2" t="str">
        <f>IFERROR(__xludf.DUMMYFUNCTION("""COMPUTED_VALUE"""),"ওয়াজ বক্স")</f>
        <v>ওয়াজ বক্স</v>
      </c>
      <c r="F13" s="2" t="str">
        <f>IFERROR(__xludf.DUMMYFUNCTION("""COMPUTED_VALUE"""),"মোছাঃ ইজারন নেছা")</f>
        <v>মোছাঃ ইজারন নেছা</v>
      </c>
      <c r="G13" s="2" t="str">
        <f>IFERROR(__xludf.DUMMYFUNCTION("""COMPUTED_VALUE"""),"কৃষক")</f>
        <v>কৃষক</v>
      </c>
      <c r="H13" s="2" t="str">
        <f>IFERROR(__xludf.DUMMYFUNCTION("""COMPUTED_VALUE"""),"২৫/০২/১৯৭৪")</f>
        <v>২৫/০২/১৯৭৪</v>
      </c>
    </row>
    <row r="14">
      <c r="B14" s="2" t="str">
        <f>IFERROR(__xludf.DUMMYFUNCTION("""COMPUTED_VALUE"""),165.0)</f>
        <v>165</v>
      </c>
      <c r="C14" s="2" t="str">
        <f>IFERROR(__xludf.DUMMYFUNCTION("""COMPUTED_VALUE"""),"মোঃ নাসীর উদ্দীন")</f>
        <v>মোঃ নাসীর উদ্দীন</v>
      </c>
      <c r="D14" s="2" t="str">
        <f>IFERROR(__xludf.DUMMYFUNCTION("""COMPUTED_VALUE"""),5.70056378112E11)</f>
        <v>570056378112</v>
      </c>
      <c r="E14" s="2" t="str">
        <f>IFERROR(__xludf.DUMMYFUNCTION("""COMPUTED_VALUE"""),"ওয়াজ বক্স মালিথা")</f>
        <v>ওয়াজ বক্স মালিথা</v>
      </c>
      <c r="F14" s="2" t="str">
        <f>IFERROR(__xludf.DUMMYFUNCTION("""COMPUTED_VALUE"""),"মোছাঃ ইজারন নেছা")</f>
        <v>মোছাঃ ইজারন নেছা</v>
      </c>
      <c r="G14" s="2" t="str">
        <f>IFERROR(__xludf.DUMMYFUNCTION("""COMPUTED_VALUE"""),"কৃষক")</f>
        <v>কৃষক</v>
      </c>
      <c r="H14" s="2" t="str">
        <f>IFERROR(__xludf.DUMMYFUNCTION("""COMPUTED_VALUE"""),"০২/০২/১৯৭২")</f>
        <v>০২/০২/১৯৭২</v>
      </c>
    </row>
    <row r="15">
      <c r="B15" s="2" t="str">
        <f>IFERROR(__xludf.DUMMYFUNCTION("""COMPUTED_VALUE"""),"[নাই]")</f>
        <v>[নাই]</v>
      </c>
      <c r="C15" s="2" t="str">
        <f>IFERROR(__xludf.DUMMYFUNCTION("""COMPUTED_VALUE"""),"রবিউল হক")</f>
        <v>রবিউল হক</v>
      </c>
      <c r="D15" s="2" t="str">
        <f>IFERROR(__xludf.DUMMYFUNCTION("""COMPUTED_VALUE"""),5.70056378117E11)</f>
        <v>570056378117</v>
      </c>
      <c r="E15" s="2" t="str">
        <f>IFERROR(__xludf.DUMMYFUNCTION("""COMPUTED_VALUE"""),"ওয়াজ বক্স মালিথা")</f>
        <v>ওয়াজ বক্স মালিথা</v>
      </c>
      <c r="F15" s="2" t="str">
        <f>IFERROR(__xludf.DUMMYFUNCTION("""COMPUTED_VALUE"""),"মোছাঃ ইজারন নেছা")</f>
        <v>মোছাঃ ইজারন নেছা</v>
      </c>
      <c r="G15" s="2" t="str">
        <f>IFERROR(__xludf.DUMMYFUNCTION("""COMPUTED_VALUE"""),"কৃষক")</f>
        <v>কৃষক</v>
      </c>
      <c r="H15" s="2" t="str">
        <f>IFERROR(__xludf.DUMMYFUNCTION("""COMPUTED_VALUE"""),"১৭/০৪/১৯??")</f>
        <v>১৭/০৪/১৯??</v>
      </c>
    </row>
    <row r="16">
      <c r="B16" s="2" t="str">
        <f>IFERROR(__xludf.DUMMYFUNCTION("""COMPUTED_VALUE"""),570.0)</f>
        <v>570</v>
      </c>
      <c r="C16" s="2" t="str">
        <f>IFERROR(__xludf.DUMMYFUNCTION("""COMPUTED_VALUE"""),"মোঃ রানা")</f>
        <v>মোঃ রানা</v>
      </c>
      <c r="D16" s="2" t="str">
        <f>IFERROR(__xludf.DUMMYFUNCTION("""COMPUTED_VALUE"""),5.70056000129E11)</f>
        <v>570056000129</v>
      </c>
      <c r="E16" s="2" t="str">
        <f>IFERROR(__xludf.DUMMYFUNCTION("""COMPUTED_VALUE"""),"মোঃ জাহা বক্স")</f>
        <v>মোঃ জাহা বক্স</v>
      </c>
      <c r="F16" s="2" t="str">
        <f>IFERROR(__xludf.DUMMYFUNCTION("""COMPUTED_VALUE"""),"মোছাঃ আয়মানা")</f>
        <v>মোছাঃ আয়মানা</v>
      </c>
      <c r="G16" s="2" t="str">
        <f>IFERROR(__xludf.DUMMYFUNCTION("""COMPUTED_VALUE"""),"কৃষক")</f>
        <v>কৃষক</v>
      </c>
      <c r="H16" s="2" t="str">
        <f>IFERROR(__xludf.DUMMYFUNCTION("""COMPUTED_VALUE"""),"০১/০৬/১৯৯০")</f>
        <v>০১/০৬/১৯৯০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2">
    <mergeCell ref="B4:B5"/>
    <mergeCell ref="B6:B7"/>
  </mergeCells>
  <dataValidations>
    <dataValidation type="list" allowBlank="1" showDropDown="1" sqref="D1">
      <formula1>Sheet1!$D$8:$D1000</formula1>
    </dataValidation>
    <dataValidation type="list" allowBlank="1" sqref="C3">
      <formula1>Sheet1!$C$10:$C1000</formula1>
    </dataValidation>
  </dataValidations>
  <drawing r:id="rId1"/>
</worksheet>
</file>